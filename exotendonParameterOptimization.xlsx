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nstingel\code\predictiveSim\testingMaterials\PredictRunning_2d\"/>
    </mc:Choice>
  </mc:AlternateContent>
  <xr:revisionPtr revIDLastSave="0" documentId="13_ncr:1_{5EC0A69E-FDAC-42C6-81B0-4A69CB6EFA4E}" xr6:coauthVersionLast="47" xr6:coauthVersionMax="47" xr10:uidLastSave="{00000000-0000-0000-0000-000000000000}"/>
  <bookViews>
    <workbookView xWindow="-120" yWindow="-120" windowWidth="29040" windowHeight="15840" tabRatio="666" firstSheet="8" activeTab="13" xr2:uid="{00000000-000D-0000-FFFF-FFFF00000000}"/>
  </bookViews>
  <sheets>
    <sheet name="2.7 exo moco optimization" sheetId="1" r:id="rId1"/>
    <sheet name="2.7 exo sweep" sheetId="2" r:id="rId2"/>
    <sheet name="4 exo sweep" sheetId="4" r:id="rId3"/>
    <sheet name="2.7 grid" sheetId="5" r:id="rId4"/>
    <sheet name="4 grid" sheetId="7" r:id="rId5"/>
    <sheet name="2.7 grid_figure" sheetId="8" r:id="rId6"/>
    <sheet name="2.7 grid_figure (2)" sheetId="10" r:id="rId7"/>
    <sheet name="4 grid_figure" sheetId="9" r:id="rId8"/>
    <sheet name="4 grid_figure (2)" sheetId="11" r:id="rId9"/>
    <sheet name="4 grid 12.24" sheetId="13" r:id="rId10"/>
    <sheet name="2.7 grid 12.24" sheetId="12" r:id="rId11"/>
    <sheet name="4 grid 12.24 (2)" sheetId="14" r:id="rId12"/>
    <sheet name="2.7 grid 12.24_actualmin" sheetId="15" r:id="rId13"/>
    <sheet name="4 grid 12.24_actualmin" sheetId="16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5" i="16" l="1"/>
  <c r="J16" i="16"/>
  <c r="J17" i="16"/>
  <c r="J18" i="16"/>
  <c r="J20" i="16"/>
  <c r="J21" i="16"/>
  <c r="J22" i="16"/>
  <c r="J23" i="16"/>
  <c r="J24" i="16"/>
  <c r="J26" i="16"/>
  <c r="J27" i="16"/>
  <c r="J28" i="16"/>
  <c r="J29" i="16"/>
  <c r="J30" i="16"/>
  <c r="J32" i="16"/>
  <c r="J33" i="16"/>
  <c r="J34" i="16"/>
  <c r="J35" i="16"/>
  <c r="J36" i="16"/>
  <c r="J38" i="16"/>
  <c r="J39" i="16"/>
  <c r="J40" i="16"/>
  <c r="J41" i="16"/>
  <c r="J42" i="16"/>
  <c r="J14" i="16"/>
  <c r="J11" i="14"/>
  <c r="J42" i="14"/>
  <c r="J41" i="14"/>
  <c r="J40" i="14"/>
  <c r="J39" i="14"/>
  <c r="J38" i="14"/>
  <c r="J36" i="14"/>
  <c r="J35" i="14"/>
  <c r="J34" i="14"/>
  <c r="J33" i="14"/>
  <c r="J32" i="14"/>
  <c r="J30" i="14"/>
  <c r="J29" i="14"/>
  <c r="J28" i="14"/>
  <c r="J27" i="14"/>
  <c r="J26" i="14"/>
  <c r="J24" i="14"/>
  <c r="J23" i="14"/>
  <c r="J22" i="14"/>
  <c r="J21" i="14"/>
  <c r="J20" i="14"/>
  <c r="J18" i="14"/>
  <c r="J17" i="14"/>
  <c r="J16" i="14"/>
  <c r="J15" i="14"/>
  <c r="J14" i="14"/>
  <c r="M50" i="16"/>
  <c r="K42" i="16"/>
  <c r="K41" i="16"/>
  <c r="K40" i="16"/>
  <c r="K39" i="16"/>
  <c r="K38" i="16"/>
  <c r="K36" i="16"/>
  <c r="K35" i="16"/>
  <c r="K34" i="16"/>
  <c r="K33" i="16"/>
  <c r="K32" i="16"/>
  <c r="K30" i="16"/>
  <c r="K29" i="16"/>
  <c r="K28" i="16"/>
  <c r="K27" i="16"/>
  <c r="K26" i="16"/>
  <c r="K24" i="16"/>
  <c r="M47" i="16" s="1"/>
  <c r="K23" i="16"/>
  <c r="K22" i="16"/>
  <c r="K21" i="16"/>
  <c r="K20" i="16"/>
  <c r="K18" i="16"/>
  <c r="K17" i="16"/>
  <c r="K16" i="16"/>
  <c r="M49" i="16" s="1"/>
  <c r="K15" i="16"/>
  <c r="K14" i="16"/>
  <c r="K11" i="16"/>
  <c r="M48" i="16" s="1"/>
  <c r="H32" i="16"/>
  <c r="H15" i="16"/>
  <c r="H16" i="16"/>
  <c r="H17" i="16"/>
  <c r="H18" i="16"/>
  <c r="H20" i="16"/>
  <c r="H21" i="16"/>
  <c r="H22" i="16"/>
  <c r="H23" i="16"/>
  <c r="H24" i="16"/>
  <c r="H26" i="16"/>
  <c r="H27" i="16"/>
  <c r="H28" i="16"/>
  <c r="H29" i="16"/>
  <c r="H30" i="16"/>
  <c r="H33" i="16"/>
  <c r="H34" i="16"/>
  <c r="H35" i="16"/>
  <c r="H36" i="16"/>
  <c r="H38" i="16"/>
  <c r="H39" i="16"/>
  <c r="H40" i="16"/>
  <c r="H41" i="16"/>
  <c r="H42" i="16"/>
  <c r="H14" i="16"/>
  <c r="H11" i="16"/>
  <c r="V38" i="16" s="1"/>
  <c r="H51" i="16"/>
  <c r="H50" i="16"/>
  <c r="H49" i="16"/>
  <c r="H48" i="16"/>
  <c r="H47" i="16"/>
  <c r="H46" i="16"/>
  <c r="H45" i="16"/>
  <c r="R42" i="16"/>
  <c r="Q42" i="16"/>
  <c r="P42" i="16"/>
  <c r="O42" i="16"/>
  <c r="R41" i="16"/>
  <c r="Q41" i="16"/>
  <c r="P41" i="16"/>
  <c r="O41" i="16"/>
  <c r="R40" i="16"/>
  <c r="Q40" i="16"/>
  <c r="P40" i="16"/>
  <c r="O40" i="16"/>
  <c r="R39" i="16"/>
  <c r="Q39" i="16"/>
  <c r="P39" i="16"/>
  <c r="O39" i="16"/>
  <c r="R38" i="16"/>
  <c r="Q38" i="16"/>
  <c r="P38" i="16"/>
  <c r="O38" i="16"/>
  <c r="R36" i="16"/>
  <c r="Q36" i="16"/>
  <c r="P36" i="16"/>
  <c r="O36" i="16"/>
  <c r="R35" i="16"/>
  <c r="Q35" i="16"/>
  <c r="P35" i="16"/>
  <c r="O35" i="16"/>
  <c r="R34" i="16"/>
  <c r="Q34" i="16"/>
  <c r="P34" i="16"/>
  <c r="O34" i="16"/>
  <c r="R33" i="16"/>
  <c r="Q33" i="16"/>
  <c r="P33" i="16"/>
  <c r="O33" i="16"/>
  <c r="R32" i="16"/>
  <c r="Q32" i="16"/>
  <c r="P32" i="16"/>
  <c r="O32" i="16"/>
  <c r="R30" i="16"/>
  <c r="Q30" i="16"/>
  <c r="P30" i="16"/>
  <c r="O30" i="16"/>
  <c r="R29" i="16"/>
  <c r="Q29" i="16"/>
  <c r="P29" i="16"/>
  <c r="O29" i="16"/>
  <c r="R28" i="16"/>
  <c r="Q28" i="16"/>
  <c r="P28" i="16"/>
  <c r="O28" i="16"/>
  <c r="R27" i="16"/>
  <c r="Q27" i="16"/>
  <c r="P27" i="16"/>
  <c r="O27" i="16"/>
  <c r="R26" i="16"/>
  <c r="Q26" i="16"/>
  <c r="P26" i="16"/>
  <c r="O26" i="16"/>
  <c r="R24" i="16"/>
  <c r="Q24" i="16"/>
  <c r="P24" i="16"/>
  <c r="O24" i="16"/>
  <c r="R23" i="16"/>
  <c r="Q23" i="16"/>
  <c r="P23" i="16"/>
  <c r="O23" i="16"/>
  <c r="R22" i="16"/>
  <c r="Q22" i="16"/>
  <c r="P22" i="16"/>
  <c r="O22" i="16"/>
  <c r="R21" i="16"/>
  <c r="Q21" i="16"/>
  <c r="P21" i="16"/>
  <c r="O21" i="16"/>
  <c r="R20" i="16"/>
  <c r="Q20" i="16"/>
  <c r="P20" i="16"/>
  <c r="O20" i="16"/>
  <c r="R18" i="16"/>
  <c r="Q18" i="16"/>
  <c r="P18" i="16"/>
  <c r="O18" i="16"/>
  <c r="R17" i="16"/>
  <c r="Q17" i="16"/>
  <c r="P17" i="16"/>
  <c r="O17" i="16"/>
  <c r="R16" i="16"/>
  <c r="Q16" i="16"/>
  <c r="P16" i="16"/>
  <c r="O16" i="16"/>
  <c r="R15" i="16"/>
  <c r="Q15" i="16"/>
  <c r="P15" i="16"/>
  <c r="O15" i="16"/>
  <c r="R14" i="16"/>
  <c r="Q14" i="16"/>
  <c r="P14" i="16"/>
  <c r="O14" i="16"/>
  <c r="AE5" i="16"/>
  <c r="H15" i="15"/>
  <c r="H16" i="15"/>
  <c r="H17" i="15"/>
  <c r="H18" i="15"/>
  <c r="H20" i="15"/>
  <c r="H21" i="15"/>
  <c r="H22" i="15"/>
  <c r="H23" i="15"/>
  <c r="H24" i="15"/>
  <c r="H26" i="15"/>
  <c r="H27" i="15"/>
  <c r="S27" i="15" s="1"/>
  <c r="H28" i="15"/>
  <c r="H29" i="15"/>
  <c r="H30" i="15"/>
  <c r="H32" i="15"/>
  <c r="H33" i="15"/>
  <c r="S33" i="15" s="1"/>
  <c r="H34" i="15"/>
  <c r="S34" i="15" s="1"/>
  <c r="H35" i="15"/>
  <c r="S35" i="15" s="1"/>
  <c r="H36" i="15"/>
  <c r="S36" i="15" s="1"/>
  <c r="H38" i="15"/>
  <c r="H39" i="15"/>
  <c r="H40" i="15"/>
  <c r="S40" i="15" s="1"/>
  <c r="H41" i="15"/>
  <c r="S41" i="15" s="1"/>
  <c r="H42" i="15"/>
  <c r="S42" i="15" s="1"/>
  <c r="H14" i="15"/>
  <c r="H11" i="15"/>
  <c r="H51" i="15"/>
  <c r="H50" i="15"/>
  <c r="H49" i="15"/>
  <c r="H48" i="15"/>
  <c r="H47" i="15"/>
  <c r="H46" i="15"/>
  <c r="H45" i="15"/>
  <c r="O42" i="15"/>
  <c r="N42" i="15"/>
  <c r="M42" i="15"/>
  <c r="L42" i="15"/>
  <c r="O41" i="15"/>
  <c r="N41" i="15"/>
  <c r="M41" i="15"/>
  <c r="L41" i="15"/>
  <c r="O40" i="15"/>
  <c r="N40" i="15"/>
  <c r="M40" i="15"/>
  <c r="L40" i="15"/>
  <c r="O39" i="15"/>
  <c r="N39" i="15"/>
  <c r="M39" i="15"/>
  <c r="L39" i="15"/>
  <c r="S39" i="15"/>
  <c r="O38" i="15"/>
  <c r="N38" i="15"/>
  <c r="M38" i="15"/>
  <c r="L38" i="15"/>
  <c r="O36" i="15"/>
  <c r="N36" i="15"/>
  <c r="M36" i="15"/>
  <c r="L36" i="15"/>
  <c r="O35" i="15"/>
  <c r="N35" i="15"/>
  <c r="M35" i="15"/>
  <c r="L35" i="15"/>
  <c r="O34" i="15"/>
  <c r="N34" i="15"/>
  <c r="M34" i="15"/>
  <c r="L34" i="15"/>
  <c r="O33" i="15"/>
  <c r="N33" i="15"/>
  <c r="M33" i="15"/>
  <c r="L33" i="15"/>
  <c r="O32" i="15"/>
  <c r="N32" i="15"/>
  <c r="M32" i="15"/>
  <c r="L32" i="15"/>
  <c r="S32" i="15"/>
  <c r="O30" i="15"/>
  <c r="N30" i="15"/>
  <c r="M30" i="15"/>
  <c r="L30" i="15"/>
  <c r="O29" i="15"/>
  <c r="N29" i="15"/>
  <c r="M29" i="15"/>
  <c r="L29" i="15"/>
  <c r="S29" i="15"/>
  <c r="S28" i="15"/>
  <c r="O28" i="15"/>
  <c r="N28" i="15"/>
  <c r="M28" i="15"/>
  <c r="L28" i="15"/>
  <c r="O27" i="15"/>
  <c r="N27" i="15"/>
  <c r="M27" i="15"/>
  <c r="L27" i="15"/>
  <c r="O26" i="15"/>
  <c r="N26" i="15"/>
  <c r="M26" i="15"/>
  <c r="L26" i="15"/>
  <c r="S26" i="15"/>
  <c r="O24" i="15"/>
  <c r="N24" i="15"/>
  <c r="M24" i="15"/>
  <c r="L24" i="15"/>
  <c r="S24" i="15"/>
  <c r="O23" i="15"/>
  <c r="N23" i="15"/>
  <c r="M23" i="15"/>
  <c r="L23" i="15"/>
  <c r="S23" i="15"/>
  <c r="S22" i="15"/>
  <c r="O22" i="15"/>
  <c r="N22" i="15"/>
  <c r="M22" i="15"/>
  <c r="L22" i="15"/>
  <c r="S21" i="15"/>
  <c r="O21" i="15"/>
  <c r="N21" i="15"/>
  <c r="M21" i="15"/>
  <c r="L21" i="15"/>
  <c r="O20" i="15"/>
  <c r="N20" i="15"/>
  <c r="M20" i="15"/>
  <c r="L20" i="15"/>
  <c r="S20" i="15"/>
  <c r="O18" i="15"/>
  <c r="N18" i="15"/>
  <c r="M18" i="15"/>
  <c r="L18" i="15"/>
  <c r="S18" i="15"/>
  <c r="O17" i="15"/>
  <c r="N17" i="15"/>
  <c r="M17" i="15"/>
  <c r="L17" i="15"/>
  <c r="S17" i="15"/>
  <c r="O16" i="15"/>
  <c r="N16" i="15"/>
  <c r="M16" i="15"/>
  <c r="L16" i="15"/>
  <c r="S16" i="15"/>
  <c r="S15" i="15"/>
  <c r="O15" i="15"/>
  <c r="N15" i="15"/>
  <c r="M15" i="15"/>
  <c r="L15" i="15"/>
  <c r="O14" i="15"/>
  <c r="N14" i="15"/>
  <c r="M14" i="15"/>
  <c r="L14" i="15"/>
  <c r="S14" i="15"/>
  <c r="AB5" i="15"/>
  <c r="H51" i="14"/>
  <c r="H50" i="14"/>
  <c r="H49" i="14"/>
  <c r="H48" i="14"/>
  <c r="H47" i="14"/>
  <c r="H46" i="14"/>
  <c r="H45" i="14"/>
  <c r="Q42" i="14"/>
  <c r="P42" i="14"/>
  <c r="O42" i="14"/>
  <c r="N42" i="14"/>
  <c r="H42" i="14"/>
  <c r="U42" i="14" s="1"/>
  <c r="Q41" i="14"/>
  <c r="P41" i="14"/>
  <c r="O41" i="14"/>
  <c r="N41" i="14"/>
  <c r="H41" i="14"/>
  <c r="Q40" i="14"/>
  <c r="P40" i="14"/>
  <c r="O40" i="14"/>
  <c r="N40" i="14"/>
  <c r="H40" i="14"/>
  <c r="Q39" i="14"/>
  <c r="P39" i="14"/>
  <c r="O39" i="14"/>
  <c r="N39" i="14"/>
  <c r="H39" i="14"/>
  <c r="Q38" i="14"/>
  <c r="P38" i="14"/>
  <c r="O38" i="14"/>
  <c r="N38" i="14"/>
  <c r="H38" i="14"/>
  <c r="Q36" i="14"/>
  <c r="P36" i="14"/>
  <c r="O36" i="14"/>
  <c r="N36" i="14"/>
  <c r="H36" i="14"/>
  <c r="Q35" i="14"/>
  <c r="P35" i="14"/>
  <c r="O35" i="14"/>
  <c r="N35" i="14"/>
  <c r="H35" i="14"/>
  <c r="U35" i="14" s="1"/>
  <c r="Q34" i="14"/>
  <c r="P34" i="14"/>
  <c r="O34" i="14"/>
  <c r="N34" i="14"/>
  <c r="H34" i="14"/>
  <c r="Q33" i="14"/>
  <c r="P33" i="14"/>
  <c r="O33" i="14"/>
  <c r="N33" i="14"/>
  <c r="H33" i="14"/>
  <c r="Q32" i="14"/>
  <c r="P32" i="14"/>
  <c r="O32" i="14"/>
  <c r="N32" i="14"/>
  <c r="H32" i="14"/>
  <c r="Q30" i="14"/>
  <c r="P30" i="14"/>
  <c r="O30" i="14"/>
  <c r="N30" i="14"/>
  <c r="H30" i="14"/>
  <c r="Q29" i="14"/>
  <c r="P29" i="14"/>
  <c r="O29" i="14"/>
  <c r="N29" i="14"/>
  <c r="H29" i="14"/>
  <c r="Q28" i="14"/>
  <c r="P28" i="14"/>
  <c r="O28" i="14"/>
  <c r="N28" i="14"/>
  <c r="H28" i="14"/>
  <c r="Q27" i="14"/>
  <c r="P27" i="14"/>
  <c r="O27" i="14"/>
  <c r="N27" i="14"/>
  <c r="H27" i="14"/>
  <c r="Q26" i="14"/>
  <c r="P26" i="14"/>
  <c r="O26" i="14"/>
  <c r="N26" i="14"/>
  <c r="H26" i="14"/>
  <c r="Q24" i="14"/>
  <c r="P24" i="14"/>
  <c r="O24" i="14"/>
  <c r="N24" i="14"/>
  <c r="H24" i="14"/>
  <c r="Q23" i="14"/>
  <c r="P23" i="14"/>
  <c r="O23" i="14"/>
  <c r="N23" i="14"/>
  <c r="H23" i="14"/>
  <c r="Q22" i="14"/>
  <c r="P22" i="14"/>
  <c r="O22" i="14"/>
  <c r="N22" i="14"/>
  <c r="H22" i="14"/>
  <c r="Q21" i="14"/>
  <c r="P21" i="14"/>
  <c r="O21" i="14"/>
  <c r="N21" i="14"/>
  <c r="H21" i="14"/>
  <c r="Q20" i="14"/>
  <c r="P20" i="14"/>
  <c r="O20" i="14"/>
  <c r="N20" i="14"/>
  <c r="H20" i="14"/>
  <c r="Q18" i="14"/>
  <c r="P18" i="14"/>
  <c r="O18" i="14"/>
  <c r="N18" i="14"/>
  <c r="H18" i="14"/>
  <c r="Q17" i="14"/>
  <c r="P17" i="14"/>
  <c r="O17" i="14"/>
  <c r="N17" i="14"/>
  <c r="H17" i="14"/>
  <c r="Q16" i="14"/>
  <c r="P16" i="14"/>
  <c r="O16" i="14"/>
  <c r="N16" i="14"/>
  <c r="H16" i="14"/>
  <c r="Q15" i="14"/>
  <c r="P15" i="14"/>
  <c r="O15" i="14"/>
  <c r="N15" i="14"/>
  <c r="H15" i="14"/>
  <c r="Q14" i="14"/>
  <c r="P14" i="14"/>
  <c r="O14" i="14"/>
  <c r="N14" i="14"/>
  <c r="H14" i="14"/>
  <c r="H11" i="14"/>
  <c r="AD5" i="14"/>
  <c r="H51" i="13"/>
  <c r="H50" i="13"/>
  <c r="H49" i="13"/>
  <c r="H48" i="13"/>
  <c r="H47" i="13"/>
  <c r="H46" i="13"/>
  <c r="H45" i="13"/>
  <c r="O42" i="13"/>
  <c r="N42" i="13"/>
  <c r="M42" i="13"/>
  <c r="L42" i="13"/>
  <c r="H42" i="13"/>
  <c r="S42" i="13" s="1"/>
  <c r="O41" i="13"/>
  <c r="N41" i="13"/>
  <c r="M41" i="13"/>
  <c r="L41" i="13"/>
  <c r="H41" i="13"/>
  <c r="S41" i="13" s="1"/>
  <c r="O40" i="13"/>
  <c r="N40" i="13"/>
  <c r="M40" i="13"/>
  <c r="L40" i="13"/>
  <c r="H40" i="13"/>
  <c r="S40" i="13" s="1"/>
  <c r="O39" i="13"/>
  <c r="N39" i="13"/>
  <c r="M39" i="13"/>
  <c r="L39" i="13"/>
  <c r="H39" i="13"/>
  <c r="S39" i="13" s="1"/>
  <c r="S38" i="13"/>
  <c r="O38" i="13"/>
  <c r="N38" i="13"/>
  <c r="M38" i="13"/>
  <c r="L38" i="13"/>
  <c r="H38" i="13"/>
  <c r="O36" i="13"/>
  <c r="N36" i="13"/>
  <c r="M36" i="13"/>
  <c r="L36" i="13"/>
  <c r="H36" i="13"/>
  <c r="O35" i="13"/>
  <c r="N35" i="13"/>
  <c r="M35" i="13"/>
  <c r="L35" i="13"/>
  <c r="H35" i="13"/>
  <c r="S35" i="13" s="1"/>
  <c r="O34" i="13"/>
  <c r="N34" i="13"/>
  <c r="M34" i="13"/>
  <c r="L34" i="13"/>
  <c r="H34" i="13"/>
  <c r="S34" i="13" s="1"/>
  <c r="O33" i="13"/>
  <c r="N33" i="13"/>
  <c r="M33" i="13"/>
  <c r="L33" i="13"/>
  <c r="H33" i="13"/>
  <c r="S33" i="13" s="1"/>
  <c r="O32" i="13"/>
  <c r="N32" i="13"/>
  <c r="M32" i="13"/>
  <c r="L32" i="13"/>
  <c r="H32" i="13"/>
  <c r="O30" i="13"/>
  <c r="N30" i="13"/>
  <c r="M30" i="13"/>
  <c r="L30" i="13"/>
  <c r="H30" i="13"/>
  <c r="S30" i="13" s="1"/>
  <c r="O29" i="13"/>
  <c r="N29" i="13"/>
  <c r="M29" i="13"/>
  <c r="L29" i="13"/>
  <c r="H29" i="13"/>
  <c r="O28" i="13"/>
  <c r="N28" i="13"/>
  <c r="M28" i="13"/>
  <c r="L28" i="13"/>
  <c r="H28" i="13"/>
  <c r="S28" i="13" s="1"/>
  <c r="O27" i="13"/>
  <c r="N27" i="13"/>
  <c r="M27" i="13"/>
  <c r="L27" i="13"/>
  <c r="H27" i="13"/>
  <c r="S27" i="13" s="1"/>
  <c r="O26" i="13"/>
  <c r="N26" i="13"/>
  <c r="M26" i="13"/>
  <c r="L26" i="13"/>
  <c r="H26" i="13"/>
  <c r="O24" i="13"/>
  <c r="N24" i="13"/>
  <c r="M24" i="13"/>
  <c r="L24" i="13"/>
  <c r="H24" i="13"/>
  <c r="S24" i="13" s="1"/>
  <c r="O23" i="13"/>
  <c r="N23" i="13"/>
  <c r="M23" i="13"/>
  <c r="L23" i="13"/>
  <c r="H23" i="13"/>
  <c r="S23" i="13" s="1"/>
  <c r="O22" i="13"/>
  <c r="N22" i="13"/>
  <c r="M22" i="13"/>
  <c r="L22" i="13"/>
  <c r="H22" i="13"/>
  <c r="O21" i="13"/>
  <c r="N21" i="13"/>
  <c r="M21" i="13"/>
  <c r="L21" i="13"/>
  <c r="H21" i="13"/>
  <c r="O20" i="13"/>
  <c r="N20" i="13"/>
  <c r="M20" i="13"/>
  <c r="L20" i="13"/>
  <c r="H20" i="13"/>
  <c r="S20" i="13" s="1"/>
  <c r="O18" i="13"/>
  <c r="N18" i="13"/>
  <c r="M18" i="13"/>
  <c r="L18" i="13"/>
  <c r="H18" i="13"/>
  <c r="S18" i="13" s="1"/>
  <c r="O17" i="13"/>
  <c r="N17" i="13"/>
  <c r="M17" i="13"/>
  <c r="L17" i="13"/>
  <c r="H17" i="13"/>
  <c r="S17" i="13" s="1"/>
  <c r="O16" i="13"/>
  <c r="N16" i="13"/>
  <c r="M16" i="13"/>
  <c r="L16" i="13"/>
  <c r="H16" i="13"/>
  <c r="S16" i="13" s="1"/>
  <c r="O15" i="13"/>
  <c r="N15" i="13"/>
  <c r="M15" i="13"/>
  <c r="L15" i="13"/>
  <c r="H15" i="13"/>
  <c r="O14" i="13"/>
  <c r="N14" i="13"/>
  <c r="M14" i="13"/>
  <c r="L14" i="13"/>
  <c r="H14" i="13"/>
  <c r="H11" i="13"/>
  <c r="AB5" i="13"/>
  <c r="H51" i="12"/>
  <c r="H50" i="12"/>
  <c r="H49" i="12"/>
  <c r="H48" i="12"/>
  <c r="H47" i="12"/>
  <c r="H46" i="12"/>
  <c r="H45" i="12"/>
  <c r="O42" i="12"/>
  <c r="N42" i="12"/>
  <c r="M42" i="12"/>
  <c r="L42" i="12"/>
  <c r="H42" i="12"/>
  <c r="O41" i="12"/>
  <c r="N41" i="12"/>
  <c r="M41" i="12"/>
  <c r="L41" i="12"/>
  <c r="H41" i="12"/>
  <c r="O40" i="12"/>
  <c r="N40" i="12"/>
  <c r="M40" i="12"/>
  <c r="L40" i="12"/>
  <c r="H40" i="12"/>
  <c r="O39" i="12"/>
  <c r="N39" i="12"/>
  <c r="M39" i="12"/>
  <c r="L39" i="12"/>
  <c r="H39" i="12"/>
  <c r="S38" i="12"/>
  <c r="O38" i="12"/>
  <c r="N38" i="12"/>
  <c r="M38" i="12"/>
  <c r="L38" i="12"/>
  <c r="H38" i="12"/>
  <c r="O36" i="12"/>
  <c r="N36" i="12"/>
  <c r="M36" i="12"/>
  <c r="L36" i="12"/>
  <c r="H36" i="12"/>
  <c r="O35" i="12"/>
  <c r="N35" i="12"/>
  <c r="M35" i="12"/>
  <c r="L35" i="12"/>
  <c r="H35" i="12"/>
  <c r="S35" i="12" s="1"/>
  <c r="O34" i="12"/>
  <c r="N34" i="12"/>
  <c r="M34" i="12"/>
  <c r="L34" i="12"/>
  <c r="H34" i="12"/>
  <c r="S34" i="12" s="1"/>
  <c r="O33" i="12"/>
  <c r="N33" i="12"/>
  <c r="M33" i="12"/>
  <c r="L33" i="12"/>
  <c r="H33" i="12"/>
  <c r="S33" i="12" s="1"/>
  <c r="O32" i="12"/>
  <c r="N32" i="12"/>
  <c r="M32" i="12"/>
  <c r="L32" i="12"/>
  <c r="H32" i="12"/>
  <c r="O30" i="12"/>
  <c r="N30" i="12"/>
  <c r="M30" i="12"/>
  <c r="L30" i="12"/>
  <c r="H30" i="12"/>
  <c r="O29" i="12"/>
  <c r="N29" i="12"/>
  <c r="M29" i="12"/>
  <c r="L29" i="12"/>
  <c r="H29" i="12"/>
  <c r="O28" i="12"/>
  <c r="N28" i="12"/>
  <c r="M28" i="12"/>
  <c r="L28" i="12"/>
  <c r="H28" i="12"/>
  <c r="S28" i="12" s="1"/>
  <c r="O27" i="12"/>
  <c r="N27" i="12"/>
  <c r="M27" i="12"/>
  <c r="L27" i="12"/>
  <c r="H27" i="12"/>
  <c r="S27" i="12" s="1"/>
  <c r="O26" i="12"/>
  <c r="N26" i="12"/>
  <c r="M26" i="12"/>
  <c r="L26" i="12"/>
  <c r="H26" i="12"/>
  <c r="O24" i="12"/>
  <c r="N24" i="12"/>
  <c r="M24" i="12"/>
  <c r="L24" i="12"/>
  <c r="H24" i="12"/>
  <c r="O23" i="12"/>
  <c r="N23" i="12"/>
  <c r="M23" i="12"/>
  <c r="L23" i="12"/>
  <c r="H23" i="12"/>
  <c r="O22" i="12"/>
  <c r="N22" i="12"/>
  <c r="M22" i="12"/>
  <c r="L22" i="12"/>
  <c r="H22" i="12"/>
  <c r="O21" i="12"/>
  <c r="N21" i="12"/>
  <c r="M21" i="12"/>
  <c r="L21" i="12"/>
  <c r="H21" i="12"/>
  <c r="O20" i="12"/>
  <c r="N20" i="12"/>
  <c r="M20" i="12"/>
  <c r="L20" i="12"/>
  <c r="H20" i="12"/>
  <c r="O18" i="12"/>
  <c r="N18" i="12"/>
  <c r="M18" i="12"/>
  <c r="L18" i="12"/>
  <c r="H18" i="12"/>
  <c r="S18" i="12" s="1"/>
  <c r="O17" i="12"/>
  <c r="N17" i="12"/>
  <c r="M17" i="12"/>
  <c r="L17" i="12"/>
  <c r="H17" i="12"/>
  <c r="O16" i="12"/>
  <c r="N16" i="12"/>
  <c r="M16" i="12"/>
  <c r="L16" i="12"/>
  <c r="H16" i="12"/>
  <c r="O15" i="12"/>
  <c r="N15" i="12"/>
  <c r="M15" i="12"/>
  <c r="L15" i="12"/>
  <c r="H15" i="12"/>
  <c r="S15" i="12" s="1"/>
  <c r="O14" i="12"/>
  <c r="N14" i="12"/>
  <c r="M14" i="12"/>
  <c r="L14" i="12"/>
  <c r="H14" i="12"/>
  <c r="H11" i="12"/>
  <c r="AB5" i="12"/>
  <c r="E6" i="11"/>
  <c r="D6" i="11"/>
  <c r="C6" i="11"/>
  <c r="B6" i="11"/>
  <c r="A6" i="11"/>
  <c r="E5" i="11"/>
  <c r="D5" i="11"/>
  <c r="C5" i="11"/>
  <c r="B5" i="11"/>
  <c r="A5" i="11"/>
  <c r="E4" i="11"/>
  <c r="D4" i="11"/>
  <c r="C4" i="11"/>
  <c r="B4" i="11"/>
  <c r="A4" i="11"/>
  <c r="E3" i="11"/>
  <c r="D3" i="11"/>
  <c r="C3" i="11"/>
  <c r="B3" i="11"/>
  <c r="A3" i="11"/>
  <c r="E2" i="11"/>
  <c r="D2" i="11"/>
  <c r="C2" i="11"/>
  <c r="B2" i="11"/>
  <c r="A2" i="11"/>
  <c r="E6" i="10"/>
  <c r="D6" i="10"/>
  <c r="C6" i="10"/>
  <c r="B6" i="10"/>
  <c r="A6" i="10"/>
  <c r="E5" i="10"/>
  <c r="D5" i="10"/>
  <c r="C5" i="10"/>
  <c r="B5" i="10"/>
  <c r="A5" i="10"/>
  <c r="E4" i="10"/>
  <c r="D4" i="10"/>
  <c r="C4" i="10"/>
  <c r="B4" i="10"/>
  <c r="A4" i="10"/>
  <c r="E3" i="10"/>
  <c r="D3" i="10"/>
  <c r="C3" i="10"/>
  <c r="B3" i="10"/>
  <c r="A3" i="10"/>
  <c r="E2" i="10"/>
  <c r="D2" i="10"/>
  <c r="C2" i="10"/>
  <c r="B2" i="10"/>
  <c r="A2" i="10"/>
  <c r="C2" i="9"/>
  <c r="D2" i="9"/>
  <c r="E2" i="9"/>
  <c r="F2" i="9"/>
  <c r="B3" i="9"/>
  <c r="C3" i="9"/>
  <c r="D3" i="9"/>
  <c r="E3" i="9"/>
  <c r="F3" i="9"/>
  <c r="B4" i="9"/>
  <c r="C4" i="9"/>
  <c r="D4" i="9"/>
  <c r="E4" i="9"/>
  <c r="F4" i="9"/>
  <c r="B5" i="9"/>
  <c r="C5" i="9"/>
  <c r="D5" i="9"/>
  <c r="E5" i="9"/>
  <c r="F5" i="9"/>
  <c r="B6" i="9"/>
  <c r="C6" i="9"/>
  <c r="D6" i="9"/>
  <c r="E6" i="9"/>
  <c r="F6" i="9"/>
  <c r="B7" i="9"/>
  <c r="C7" i="9"/>
  <c r="D7" i="9"/>
  <c r="E7" i="9"/>
  <c r="F7" i="9"/>
  <c r="C1" i="9"/>
  <c r="A3" i="9"/>
  <c r="A1" i="9"/>
  <c r="C2" i="8"/>
  <c r="D2" i="8"/>
  <c r="E2" i="8"/>
  <c r="F2" i="8"/>
  <c r="B3" i="8"/>
  <c r="C3" i="8"/>
  <c r="D3" i="8"/>
  <c r="E3" i="8"/>
  <c r="F3" i="8"/>
  <c r="B4" i="8"/>
  <c r="C4" i="8"/>
  <c r="D4" i="8"/>
  <c r="E4" i="8"/>
  <c r="F4" i="8"/>
  <c r="B5" i="8"/>
  <c r="C5" i="8"/>
  <c r="D5" i="8"/>
  <c r="E5" i="8"/>
  <c r="F5" i="8"/>
  <c r="B6" i="8"/>
  <c r="C6" i="8"/>
  <c r="D6" i="8"/>
  <c r="E6" i="8"/>
  <c r="F6" i="8"/>
  <c r="B7" i="8"/>
  <c r="C7" i="8"/>
  <c r="D7" i="8"/>
  <c r="E7" i="8"/>
  <c r="F7" i="8"/>
  <c r="C1" i="8"/>
  <c r="A3" i="8"/>
  <c r="A1" i="8"/>
  <c r="H51" i="7"/>
  <c r="H50" i="7"/>
  <c r="H49" i="7"/>
  <c r="H48" i="7"/>
  <c r="H47" i="7"/>
  <c r="H46" i="7"/>
  <c r="H45" i="7"/>
  <c r="O42" i="7"/>
  <c r="N42" i="7"/>
  <c r="M42" i="7"/>
  <c r="L42" i="7"/>
  <c r="H42" i="7"/>
  <c r="S42" i="7" s="1"/>
  <c r="O41" i="7"/>
  <c r="N41" i="7"/>
  <c r="M41" i="7"/>
  <c r="L41" i="7"/>
  <c r="H41" i="7"/>
  <c r="S41" i="7" s="1"/>
  <c r="O40" i="7"/>
  <c r="N40" i="7"/>
  <c r="M40" i="7"/>
  <c r="L40" i="7"/>
  <c r="H40" i="7"/>
  <c r="S40" i="7" s="1"/>
  <c r="O39" i="7"/>
  <c r="N39" i="7"/>
  <c r="M39" i="7"/>
  <c r="L39" i="7"/>
  <c r="H39" i="7"/>
  <c r="S39" i="7" s="1"/>
  <c r="O38" i="7"/>
  <c r="N38" i="7"/>
  <c r="M38" i="7"/>
  <c r="L38" i="7"/>
  <c r="H38" i="7"/>
  <c r="S38" i="7" s="1"/>
  <c r="O36" i="7"/>
  <c r="N36" i="7"/>
  <c r="M36" i="7"/>
  <c r="L36" i="7"/>
  <c r="H36" i="7"/>
  <c r="O35" i="7"/>
  <c r="N35" i="7"/>
  <c r="M35" i="7"/>
  <c r="L35" i="7"/>
  <c r="H35" i="7"/>
  <c r="S35" i="7" s="1"/>
  <c r="O34" i="7"/>
  <c r="N34" i="7"/>
  <c r="M34" i="7"/>
  <c r="L34" i="7"/>
  <c r="H34" i="7"/>
  <c r="S34" i="7" s="1"/>
  <c r="O33" i="7"/>
  <c r="N33" i="7"/>
  <c r="M33" i="7"/>
  <c r="L33" i="7"/>
  <c r="H33" i="7"/>
  <c r="S33" i="7" s="1"/>
  <c r="O32" i="7"/>
  <c r="N32" i="7"/>
  <c r="M32" i="7"/>
  <c r="L32" i="7"/>
  <c r="H32" i="7"/>
  <c r="S32" i="7" s="1"/>
  <c r="O30" i="7"/>
  <c r="N30" i="7"/>
  <c r="M30" i="7"/>
  <c r="L30" i="7"/>
  <c r="H30" i="7"/>
  <c r="S30" i="7" s="1"/>
  <c r="O29" i="7"/>
  <c r="N29" i="7"/>
  <c r="M29" i="7"/>
  <c r="L29" i="7"/>
  <c r="H29" i="7"/>
  <c r="O28" i="7"/>
  <c r="N28" i="7"/>
  <c r="M28" i="7"/>
  <c r="L28" i="7"/>
  <c r="H28" i="7"/>
  <c r="S28" i="7" s="1"/>
  <c r="O27" i="7"/>
  <c r="N27" i="7"/>
  <c r="M27" i="7"/>
  <c r="L27" i="7"/>
  <c r="H27" i="7"/>
  <c r="S27" i="7" s="1"/>
  <c r="O26" i="7"/>
  <c r="N26" i="7"/>
  <c r="M26" i="7"/>
  <c r="L26" i="7"/>
  <c r="H26" i="7"/>
  <c r="O24" i="7"/>
  <c r="N24" i="7"/>
  <c r="M24" i="7"/>
  <c r="L24" i="7"/>
  <c r="H24" i="7"/>
  <c r="S24" i="7" s="1"/>
  <c r="O23" i="7"/>
  <c r="N23" i="7"/>
  <c r="M23" i="7"/>
  <c r="L23" i="7"/>
  <c r="H23" i="7"/>
  <c r="S23" i="7" s="1"/>
  <c r="O22" i="7"/>
  <c r="N22" i="7"/>
  <c r="M22" i="7"/>
  <c r="L22" i="7"/>
  <c r="H22" i="7"/>
  <c r="O21" i="7"/>
  <c r="N21" i="7"/>
  <c r="M21" i="7"/>
  <c r="L21" i="7"/>
  <c r="H21" i="7"/>
  <c r="O20" i="7"/>
  <c r="N20" i="7"/>
  <c r="M20" i="7"/>
  <c r="L20" i="7"/>
  <c r="H20" i="7"/>
  <c r="S20" i="7" s="1"/>
  <c r="O18" i="7"/>
  <c r="N18" i="7"/>
  <c r="M18" i="7"/>
  <c r="L18" i="7"/>
  <c r="H18" i="7"/>
  <c r="S18" i="7" s="1"/>
  <c r="O17" i="7"/>
  <c r="N17" i="7"/>
  <c r="M17" i="7"/>
  <c r="L17" i="7"/>
  <c r="H17" i="7"/>
  <c r="S17" i="7" s="1"/>
  <c r="O16" i="7"/>
  <c r="N16" i="7"/>
  <c r="M16" i="7"/>
  <c r="L16" i="7"/>
  <c r="H16" i="7"/>
  <c r="S16" i="7" s="1"/>
  <c r="O15" i="7"/>
  <c r="N15" i="7"/>
  <c r="M15" i="7"/>
  <c r="L15" i="7"/>
  <c r="H15" i="7"/>
  <c r="S15" i="7" s="1"/>
  <c r="O14" i="7"/>
  <c r="N14" i="7"/>
  <c r="M14" i="7"/>
  <c r="L14" i="7"/>
  <c r="H14" i="7"/>
  <c r="H11" i="7"/>
  <c r="AB5" i="7"/>
  <c r="L15" i="5"/>
  <c r="M15" i="5"/>
  <c r="N15" i="5"/>
  <c r="O15" i="5"/>
  <c r="L16" i="5"/>
  <c r="M16" i="5"/>
  <c r="N16" i="5"/>
  <c r="O16" i="5"/>
  <c r="L17" i="5"/>
  <c r="M17" i="5"/>
  <c r="N17" i="5"/>
  <c r="O17" i="5"/>
  <c r="L18" i="5"/>
  <c r="M18" i="5"/>
  <c r="N18" i="5"/>
  <c r="O18" i="5"/>
  <c r="L20" i="5"/>
  <c r="M20" i="5"/>
  <c r="N20" i="5"/>
  <c r="O20" i="5"/>
  <c r="L21" i="5"/>
  <c r="M21" i="5"/>
  <c r="N21" i="5"/>
  <c r="O21" i="5"/>
  <c r="L22" i="5"/>
  <c r="M22" i="5"/>
  <c r="N22" i="5"/>
  <c r="O22" i="5"/>
  <c r="L23" i="5"/>
  <c r="M23" i="5"/>
  <c r="N23" i="5"/>
  <c r="O23" i="5"/>
  <c r="L24" i="5"/>
  <c r="M24" i="5"/>
  <c r="N24" i="5"/>
  <c r="O24" i="5"/>
  <c r="L26" i="5"/>
  <c r="M26" i="5"/>
  <c r="N26" i="5"/>
  <c r="O26" i="5"/>
  <c r="L27" i="5"/>
  <c r="M27" i="5"/>
  <c r="N27" i="5"/>
  <c r="O27" i="5"/>
  <c r="L28" i="5"/>
  <c r="M28" i="5"/>
  <c r="N28" i="5"/>
  <c r="O28" i="5"/>
  <c r="L29" i="5"/>
  <c r="M29" i="5"/>
  <c r="N29" i="5"/>
  <c r="O29" i="5"/>
  <c r="L30" i="5"/>
  <c r="M30" i="5"/>
  <c r="N30" i="5"/>
  <c r="O30" i="5"/>
  <c r="L32" i="5"/>
  <c r="M32" i="5"/>
  <c r="N32" i="5"/>
  <c r="O32" i="5"/>
  <c r="L33" i="5"/>
  <c r="M33" i="5"/>
  <c r="N33" i="5"/>
  <c r="O33" i="5"/>
  <c r="L34" i="5"/>
  <c r="M34" i="5"/>
  <c r="N34" i="5"/>
  <c r="O34" i="5"/>
  <c r="L35" i="5"/>
  <c r="M35" i="5"/>
  <c r="N35" i="5"/>
  <c r="O35" i="5"/>
  <c r="L36" i="5"/>
  <c r="M36" i="5"/>
  <c r="N36" i="5"/>
  <c r="O36" i="5"/>
  <c r="L38" i="5"/>
  <c r="M38" i="5"/>
  <c r="N38" i="5"/>
  <c r="O38" i="5"/>
  <c r="L39" i="5"/>
  <c r="M39" i="5"/>
  <c r="N39" i="5"/>
  <c r="O39" i="5"/>
  <c r="L40" i="5"/>
  <c r="M40" i="5"/>
  <c r="N40" i="5"/>
  <c r="O40" i="5"/>
  <c r="L41" i="5"/>
  <c r="M41" i="5"/>
  <c r="N41" i="5"/>
  <c r="O41" i="5"/>
  <c r="L42" i="5"/>
  <c r="M42" i="5"/>
  <c r="N42" i="5"/>
  <c r="O42" i="5"/>
  <c r="L14" i="5"/>
  <c r="M14" i="5"/>
  <c r="N14" i="5"/>
  <c r="O14" i="5"/>
  <c r="H14" i="5"/>
  <c r="S15" i="5"/>
  <c r="S16" i="5"/>
  <c r="S17" i="5"/>
  <c r="S20" i="5"/>
  <c r="S21" i="5"/>
  <c r="S22" i="5"/>
  <c r="S23" i="5"/>
  <c r="S26" i="5"/>
  <c r="S27" i="5"/>
  <c r="S28" i="5"/>
  <c r="S29" i="5"/>
  <c r="S33" i="5"/>
  <c r="S34" i="5"/>
  <c r="S35" i="5"/>
  <c r="S38" i="5"/>
  <c r="S14" i="5"/>
  <c r="H16" i="5"/>
  <c r="H17" i="5"/>
  <c r="H18" i="5"/>
  <c r="S18" i="5" s="1"/>
  <c r="H20" i="5"/>
  <c r="H21" i="5"/>
  <c r="H22" i="5"/>
  <c r="H23" i="5"/>
  <c r="H24" i="5"/>
  <c r="S24" i="5" s="1"/>
  <c r="H26" i="5"/>
  <c r="H27" i="5"/>
  <c r="H28" i="5"/>
  <c r="H29" i="5"/>
  <c r="H30" i="5"/>
  <c r="S30" i="5" s="1"/>
  <c r="H32" i="5"/>
  <c r="S32" i="5" s="1"/>
  <c r="H33" i="5"/>
  <c r="H34" i="5"/>
  <c r="H35" i="5"/>
  <c r="H36" i="5"/>
  <c r="S36" i="5" s="1"/>
  <c r="H38" i="5"/>
  <c r="H39" i="5"/>
  <c r="S39" i="5" s="1"/>
  <c r="H40" i="5"/>
  <c r="S40" i="5" s="1"/>
  <c r="H41" i="5"/>
  <c r="S41" i="5" s="1"/>
  <c r="H42" i="5"/>
  <c r="S42" i="5" s="1"/>
  <c r="H11" i="5"/>
  <c r="H45" i="5"/>
  <c r="H46" i="5"/>
  <c r="H47" i="5"/>
  <c r="H48" i="5"/>
  <c r="H49" i="5"/>
  <c r="H50" i="5"/>
  <c r="H51" i="5"/>
  <c r="H15" i="5"/>
  <c r="AB5" i="5"/>
  <c r="O24" i="4"/>
  <c r="N24" i="4"/>
  <c r="M24" i="4"/>
  <c r="L24" i="4"/>
  <c r="H24" i="4"/>
  <c r="O23" i="4"/>
  <c r="N23" i="4"/>
  <c r="M23" i="4"/>
  <c r="L23" i="4"/>
  <c r="H23" i="4"/>
  <c r="O22" i="4"/>
  <c r="N22" i="4"/>
  <c r="M22" i="4"/>
  <c r="L22" i="4"/>
  <c r="H22" i="4"/>
  <c r="O20" i="4"/>
  <c r="N20" i="4"/>
  <c r="M20" i="4"/>
  <c r="L20" i="4"/>
  <c r="H20" i="4"/>
  <c r="O19" i="4"/>
  <c r="N19" i="4"/>
  <c r="M19" i="4"/>
  <c r="L19" i="4"/>
  <c r="H19" i="4"/>
  <c r="O18" i="4"/>
  <c r="N18" i="4"/>
  <c r="M18" i="4"/>
  <c r="L18" i="4"/>
  <c r="H18" i="4"/>
  <c r="O16" i="4"/>
  <c r="N16" i="4"/>
  <c r="M16" i="4"/>
  <c r="L16" i="4"/>
  <c r="H16" i="4"/>
  <c r="O15" i="4"/>
  <c r="N15" i="4"/>
  <c r="M15" i="4"/>
  <c r="L15" i="4"/>
  <c r="H15" i="4"/>
  <c r="O14" i="4"/>
  <c r="N14" i="4"/>
  <c r="M14" i="4"/>
  <c r="L14" i="4"/>
  <c r="H14" i="4"/>
  <c r="H11" i="4"/>
  <c r="S15" i="2"/>
  <c r="S16" i="2"/>
  <c r="S18" i="2"/>
  <c r="S19" i="2"/>
  <c r="S20" i="2"/>
  <c r="S22" i="2"/>
  <c r="S23" i="2"/>
  <c r="S24" i="2"/>
  <c r="S14" i="2"/>
  <c r="H14" i="2"/>
  <c r="H15" i="2"/>
  <c r="H16" i="2"/>
  <c r="H18" i="2"/>
  <c r="H19" i="2"/>
  <c r="H20" i="2"/>
  <c r="H22" i="2"/>
  <c r="H23" i="2"/>
  <c r="H24" i="2"/>
  <c r="H11" i="2"/>
  <c r="M14" i="2"/>
  <c r="N14" i="2"/>
  <c r="O14" i="2"/>
  <c r="M15" i="2"/>
  <c r="N15" i="2"/>
  <c r="O15" i="2"/>
  <c r="M16" i="2"/>
  <c r="N16" i="2"/>
  <c r="O16" i="2"/>
  <c r="M18" i="2"/>
  <c r="N18" i="2"/>
  <c r="O18" i="2"/>
  <c r="M19" i="2"/>
  <c r="N19" i="2"/>
  <c r="O19" i="2"/>
  <c r="M20" i="2"/>
  <c r="N20" i="2"/>
  <c r="O20" i="2"/>
  <c r="M22" i="2"/>
  <c r="N22" i="2"/>
  <c r="O22" i="2"/>
  <c r="M23" i="2"/>
  <c r="N23" i="2"/>
  <c r="O23" i="2"/>
  <c r="M24" i="2"/>
  <c r="N24" i="2"/>
  <c r="O24" i="2"/>
  <c r="L15" i="2"/>
  <c r="L16" i="2"/>
  <c r="L18" i="2"/>
  <c r="L19" i="2"/>
  <c r="L20" i="2"/>
  <c r="L22" i="2"/>
  <c r="L23" i="2"/>
  <c r="L24" i="2"/>
  <c r="L14" i="2"/>
  <c r="U27" i="14" l="1"/>
  <c r="U30" i="14"/>
  <c r="U23" i="14"/>
  <c r="U39" i="14"/>
  <c r="U16" i="14"/>
  <c r="U24" i="14"/>
  <c r="U40" i="14"/>
  <c r="U17" i="14"/>
  <c r="U33" i="14"/>
  <c r="U26" i="14"/>
  <c r="U41" i="14"/>
  <c r="U34" i="14"/>
  <c r="V14" i="16"/>
  <c r="V40" i="16"/>
  <c r="V39" i="16"/>
  <c r="V34" i="16"/>
  <c r="V33" i="16"/>
  <c r="V23" i="16"/>
  <c r="V42" i="16"/>
  <c r="V41" i="16"/>
  <c r="V20" i="16"/>
  <c r="V36" i="16"/>
  <c r="V18" i="16"/>
  <c r="V35" i="16"/>
  <c r="V32" i="16"/>
  <c r="V26" i="16"/>
  <c r="V30" i="16"/>
  <c r="V29" i="16"/>
  <c r="V28" i="16"/>
  <c r="V27" i="16"/>
  <c r="V21" i="16"/>
  <c r="V24" i="16"/>
  <c r="V16" i="16"/>
  <c r="V17" i="16"/>
  <c r="V22" i="16"/>
  <c r="V15" i="16"/>
  <c r="S38" i="15"/>
  <c r="S30" i="15"/>
  <c r="U20" i="14"/>
  <c r="U14" i="14"/>
  <c r="U32" i="14"/>
  <c r="U36" i="14"/>
  <c r="U22" i="14"/>
  <c r="U29" i="14"/>
  <c r="U15" i="14"/>
  <c r="U21" i="14"/>
  <c r="U28" i="14"/>
  <c r="U18" i="14"/>
  <c r="U38" i="14"/>
  <c r="S21" i="13"/>
  <c r="S14" i="13"/>
  <c r="S36" i="13"/>
  <c r="S26" i="13"/>
  <c r="S29" i="13"/>
  <c r="S22" i="13"/>
  <c r="S15" i="13"/>
  <c r="S32" i="13"/>
  <c r="S21" i="12"/>
  <c r="S14" i="12"/>
  <c r="S22" i="12"/>
  <c r="S24" i="12"/>
  <c r="S32" i="12"/>
  <c r="S40" i="12"/>
  <c r="S29" i="12"/>
  <c r="S36" i="12"/>
  <c r="S26" i="12"/>
  <c r="S39" i="12"/>
  <c r="S20" i="12"/>
  <c r="S41" i="12"/>
  <c r="S16" i="12"/>
  <c r="S42" i="12"/>
  <c r="S23" i="12"/>
  <c r="S30" i="12"/>
  <c r="S17" i="12"/>
  <c r="S21" i="7"/>
  <c r="S36" i="7"/>
  <c r="S14" i="7"/>
  <c r="S29" i="7"/>
  <c r="S22" i="7"/>
  <c r="S26" i="7"/>
  <c r="S22" i="4"/>
  <c r="S24" i="4"/>
  <c r="S19" i="4"/>
  <c r="S14" i="4"/>
  <c r="S16" i="4"/>
  <c r="S20" i="4"/>
  <c r="S23" i="4"/>
  <c r="S15" i="4"/>
  <c r="S18" i="4"/>
</calcChain>
</file>

<file path=xl/sharedStrings.xml><?xml version="1.0" encoding="utf-8"?>
<sst xmlns="http://schemas.openxmlformats.org/spreadsheetml/2006/main" count="1415" uniqueCount="45">
  <si>
    <t xml:space="preserve">2.7 m/s simulations </t>
  </si>
  <si>
    <t>Natural comparison</t>
  </si>
  <si>
    <t>duration (sec)</t>
  </si>
  <si>
    <t>Avg. Metabolic rate [W/kg]</t>
  </si>
  <si>
    <t>exo stiffness [N/m]</t>
  </si>
  <si>
    <t>exo rest length [m]</t>
  </si>
  <si>
    <t>diff weights</t>
  </si>
  <si>
    <t>metabolic values</t>
  </si>
  <si>
    <t>percent savings</t>
  </si>
  <si>
    <t>Table</t>
  </si>
  <si>
    <t>time</t>
  </si>
  <si>
    <t>exotendon length (m)</t>
  </si>
  <si>
    <t>l=0.1435</t>
  </si>
  <si>
    <t>l=0.2869</t>
  </si>
  <si>
    <t>l=0.4305</t>
  </si>
  <si>
    <t>natural</t>
  </si>
  <si>
    <t>exotendon stiffness (N/m)</t>
  </si>
  <si>
    <t>compliant</t>
  </si>
  <si>
    <t>stiff</t>
  </si>
  <si>
    <t>length</t>
  </si>
  <si>
    <t>short</t>
  </si>
  <si>
    <t xml:space="preserve">short </t>
  </si>
  <si>
    <t xml:space="preserve">long </t>
  </si>
  <si>
    <t>nom</t>
  </si>
  <si>
    <t xml:space="preserve">Bottom of the bowl savings. </t>
  </si>
  <si>
    <t>minimums</t>
  </si>
  <si>
    <t>lengths</t>
  </si>
  <si>
    <t>l=0.0718</t>
  </si>
  <si>
    <t>l=0.5741</t>
  </si>
  <si>
    <t>short2</t>
  </si>
  <si>
    <t>compliant2</t>
  </si>
  <si>
    <t>stiff2</t>
  </si>
  <si>
    <t>long2</t>
  </si>
  <si>
    <t>Percent change Natural to Exotendon 2.7 m/s</t>
  </si>
  <si>
    <t>Percent change Natural to Exotendon 4.0 m/s</t>
  </si>
  <si>
    <t>stiffness</t>
  </si>
  <si>
    <t>actual min</t>
  </si>
  <si>
    <t>set frequency</t>
  </si>
  <si>
    <t>min time</t>
  </si>
  <si>
    <t>cadence</t>
  </si>
  <si>
    <t>bad</t>
  </si>
  <si>
    <t>placebo</t>
  </si>
  <si>
    <t>original</t>
  </si>
  <si>
    <t>optimal</t>
  </si>
  <si>
    <t>% duration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</si>
</sst>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  <fill>
      <patternFill patternType="solid">
        <fgColor rgb="FFF2F2F2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10" applyNumberFormat="0" applyAlignment="0" applyProtection="0"/>
  </cellStyleXfs>
  <cellXfs count="64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1" xfId="0" applyNumberFormat="1" applyBorder="1"/>
    <xf numFmtId="164" fontId="0" fillId="0" borderId="2" xfId="0" applyNumberFormat="1" applyBorder="1"/>
    <xf numFmtId="164" fontId="0" fillId="0" borderId="4" xfId="0" applyNumberFormat="1" applyBorder="1"/>
    <xf numFmtId="164" fontId="0" fillId="0" borderId="0" xfId="0" applyNumberFormat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0" fontId="3" fillId="0" borderId="0" xfId="0" applyFont="1"/>
    <xf numFmtId="0" fontId="4" fillId="0" borderId="0" xfId="0" applyFont="1"/>
    <xf numFmtId="1" fontId="0" fillId="0" borderId="3" xfId="0" applyNumberFormat="1" applyBorder="1"/>
    <xf numFmtId="1" fontId="0" fillId="0" borderId="12" xfId="0" applyNumberFormat="1" applyBorder="1"/>
    <xf numFmtId="1" fontId="0" fillId="0" borderId="11" xfId="0" applyNumberFormat="1" applyBorder="1"/>
    <xf numFmtId="0" fontId="2" fillId="3" borderId="10" xfId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3" xfId="0" applyBorder="1"/>
    <xf numFmtId="0" fontId="0" fillId="0" borderId="11" xfId="0" applyBorder="1"/>
    <xf numFmtId="0" fontId="0" fillId="0" borderId="13" xfId="0" applyBorder="1"/>
    <xf numFmtId="0" fontId="0" fillId="0" borderId="12" xfId="0" applyBorder="1"/>
    <xf numFmtId="2" fontId="0" fillId="0" borderId="0" xfId="0" applyNumberFormat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2" fontId="5" fillId="0" borderId="1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2" fontId="5" fillId="0" borderId="9" xfId="0" applyNumberFormat="1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2" fontId="0" fillId="0" borderId="11" xfId="0" applyNumberFormat="1" applyBorder="1"/>
    <xf numFmtId="2" fontId="0" fillId="0" borderId="15" xfId="0" applyNumberFormat="1" applyBorder="1"/>
    <xf numFmtId="2" fontId="0" fillId="0" borderId="13" xfId="0" applyNumberFormat="1" applyBorder="1"/>
    <xf numFmtId="2" fontId="0" fillId="0" borderId="16" xfId="0" applyNumberFormat="1" applyBorder="1"/>
    <xf numFmtId="2" fontId="0" fillId="0" borderId="12" xfId="0" applyNumberFormat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0" fontId="0" fillId="0" borderId="0" xfId="0"/>
    <xf numFmtId="0" fontId="5" fillId="0" borderId="2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3" fillId="2" borderId="0" xfId="0" applyFont="1" applyFill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Natural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'2.7 exo sweep'!$D$8:$G$8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exo sweep'!$D$11:$G$11</c:f>
              <c:numCache>
                <c:formatCode>General</c:formatCode>
                <c:ptCount val="4"/>
                <c:pt idx="0">
                  <c:v>11.35727</c:v>
                </c:pt>
                <c:pt idx="1">
                  <c:v>10.635120000000001</c:v>
                </c:pt>
                <c:pt idx="2">
                  <c:v>10.62359</c:v>
                </c:pt>
                <c:pt idx="3">
                  <c:v>11.35107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71-46DB-984F-3D8C0B811FB9}"/>
            </c:ext>
          </c:extLst>
        </c:ser>
        <c:ser>
          <c:idx val="1"/>
          <c:order val="1"/>
          <c:tx>
            <c:v>Nom Nom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'2.7 exo sweep'!$D$8:$G$8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exo sweep'!$D$15:$G$15</c:f>
              <c:numCache>
                <c:formatCode>General</c:formatCode>
                <c:ptCount val="4"/>
                <c:pt idx="0">
                  <c:v>11.013629999999999</c:v>
                </c:pt>
                <c:pt idx="1">
                  <c:v>10.24297</c:v>
                </c:pt>
                <c:pt idx="2">
                  <c:v>10.23893</c:v>
                </c:pt>
                <c:pt idx="3">
                  <c:v>10.81166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71-46DB-984F-3D8C0B811FB9}"/>
            </c:ext>
          </c:extLst>
        </c:ser>
        <c:ser>
          <c:idx val="2"/>
          <c:order val="2"/>
          <c:tx>
            <c:v>nom compliant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'2.7 exo sweep'!$D$8:$G$8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exo sweep'!$D$14:$G$14</c:f>
              <c:numCache>
                <c:formatCode>General</c:formatCode>
                <c:ptCount val="4"/>
                <c:pt idx="0">
                  <c:v>12.022040000000001</c:v>
                </c:pt>
                <c:pt idx="1">
                  <c:v>11.05707</c:v>
                </c:pt>
                <c:pt idx="2">
                  <c:v>10.744339999999999</c:v>
                </c:pt>
                <c:pt idx="3">
                  <c:v>10.72885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71-46DB-984F-3D8C0B811FB9}"/>
            </c:ext>
          </c:extLst>
        </c:ser>
        <c:ser>
          <c:idx val="3"/>
          <c:order val="3"/>
          <c:tx>
            <c:v>nom stiff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'2.7 exo sweep'!$D$8:$G$8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exo sweep'!$D$16:$G$16</c:f>
              <c:numCache>
                <c:formatCode>General</c:formatCode>
                <c:ptCount val="4"/>
                <c:pt idx="0">
                  <c:v>11.464359999999999</c:v>
                </c:pt>
                <c:pt idx="1">
                  <c:v>10.72302</c:v>
                </c:pt>
                <c:pt idx="2">
                  <c:v>10.2476</c:v>
                </c:pt>
                <c:pt idx="3">
                  <c:v>10.40551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71-46DB-984F-3D8C0B811FB9}"/>
            </c:ext>
          </c:extLst>
        </c:ser>
        <c:ser>
          <c:idx val="4"/>
          <c:order val="4"/>
          <c:tx>
            <c:v>short compliant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'2.7 exo sweep'!$D$8:$G$8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exo sweep'!$D$18:$G$18</c:f>
              <c:numCache>
                <c:formatCode>General</c:formatCode>
                <c:ptCount val="4"/>
                <c:pt idx="0">
                  <c:v>11.7456</c:v>
                </c:pt>
                <c:pt idx="1">
                  <c:v>11.022819999999999</c:v>
                </c:pt>
                <c:pt idx="2">
                  <c:v>10.70454</c:v>
                </c:pt>
                <c:pt idx="3">
                  <c:v>10.55015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71-46DB-984F-3D8C0B811FB9}"/>
            </c:ext>
          </c:extLst>
        </c:ser>
        <c:ser>
          <c:idx val="5"/>
          <c:order val="5"/>
          <c:tx>
            <c:v>short nom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'2.7 exo sweep'!$D$8:$G$8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exo sweep'!$D$19:$G$19</c:f>
              <c:numCache>
                <c:formatCode>General</c:formatCode>
                <c:ptCount val="4"/>
                <c:pt idx="0">
                  <c:v>11.500450000000001</c:v>
                </c:pt>
                <c:pt idx="1">
                  <c:v>10.820320000000001</c:v>
                </c:pt>
                <c:pt idx="2">
                  <c:v>10.34102</c:v>
                </c:pt>
                <c:pt idx="3">
                  <c:v>10.37026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771-46DB-984F-3D8C0B811FB9}"/>
            </c:ext>
          </c:extLst>
        </c:ser>
        <c:ser>
          <c:idx val="6"/>
          <c:order val="6"/>
          <c:tx>
            <c:v>short stiff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'2.7 exo sweep'!$D$8:$G$8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exo sweep'!$D$20:$G$20</c:f>
              <c:numCache>
                <c:formatCode>General</c:formatCode>
                <c:ptCount val="4"/>
                <c:pt idx="0">
                  <c:v>11.50211</c:v>
                </c:pt>
                <c:pt idx="1">
                  <c:v>10.671989999999999</c:v>
                </c:pt>
                <c:pt idx="2">
                  <c:v>10.4084</c:v>
                </c:pt>
                <c:pt idx="3">
                  <c:v>10.708729999999999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771-46DB-984F-3D8C0B811FB9}"/>
            </c:ext>
          </c:extLst>
        </c:ser>
        <c:ser>
          <c:idx val="7"/>
          <c:order val="7"/>
          <c:tx>
            <c:v>long compliant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'2.7 exo sweep'!$D$8:$G$8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exo sweep'!$D$22:$G$22</c:f>
              <c:numCache>
                <c:formatCode>General</c:formatCode>
                <c:ptCount val="4"/>
                <c:pt idx="0">
                  <c:v>11.908469999999999</c:v>
                </c:pt>
                <c:pt idx="1">
                  <c:v>11.31396</c:v>
                </c:pt>
                <c:pt idx="2">
                  <c:v>10.84127</c:v>
                </c:pt>
                <c:pt idx="3">
                  <c:v>10.910769999999999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771-46DB-984F-3D8C0B811FB9}"/>
            </c:ext>
          </c:extLst>
        </c:ser>
        <c:ser>
          <c:idx val="8"/>
          <c:order val="8"/>
          <c:tx>
            <c:v>long nom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'2.7 exo sweep'!$D$8:$G$8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exo sweep'!$D$23:$G$23</c:f>
              <c:numCache>
                <c:formatCode>General</c:formatCode>
                <c:ptCount val="4"/>
                <c:pt idx="0">
                  <c:v>12.024419999999999</c:v>
                </c:pt>
                <c:pt idx="1">
                  <c:v>11.123390000000001</c:v>
                </c:pt>
                <c:pt idx="2">
                  <c:v>10.726929999999999</c:v>
                </c:pt>
                <c:pt idx="3">
                  <c:v>10.75698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771-46DB-984F-3D8C0B811FB9}"/>
            </c:ext>
          </c:extLst>
        </c:ser>
        <c:ser>
          <c:idx val="9"/>
          <c:order val="9"/>
          <c:tx>
            <c:v>long stiff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'2.7 exo sweep'!$D$8:$G$8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exo sweep'!$D$24:$G$24</c:f>
              <c:numCache>
                <c:formatCode>General</c:formatCode>
                <c:ptCount val="4"/>
                <c:pt idx="0">
                  <c:v>11.78364</c:v>
                </c:pt>
                <c:pt idx="1">
                  <c:v>10.957420000000001</c:v>
                </c:pt>
                <c:pt idx="2">
                  <c:v>10.62823</c:v>
                </c:pt>
                <c:pt idx="3">
                  <c:v>10.597189999999999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771-46DB-984F-3D8C0B811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075584"/>
        <c:axId val="707073184"/>
      </c:scatterChart>
      <c:valAx>
        <c:axId val="70707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73184"/>
        <c:crosses val="autoZero"/>
        <c:crossBetween val="midCat"/>
      </c:valAx>
      <c:valAx>
        <c:axId val="70707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75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Natural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 exo sweep'!$D$8:$G$8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exo sweep'!$D$11:$G$11</c:f>
              <c:numCache>
                <c:formatCode>General</c:formatCode>
                <c:ptCount val="4"/>
                <c:pt idx="0">
                  <c:v>15.18577</c:v>
                </c:pt>
                <c:pt idx="1">
                  <c:v>15.18749</c:v>
                </c:pt>
                <c:pt idx="2">
                  <c:v>15.21813</c:v>
                </c:pt>
                <c:pt idx="3">
                  <c:v>15.38369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87-4E70-A979-5A34B5E3DAA1}"/>
            </c:ext>
          </c:extLst>
        </c:ser>
        <c:ser>
          <c:idx val="1"/>
          <c:order val="1"/>
          <c:tx>
            <c:v>Nom Nom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 exo sweep'!$D$8:$G$8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exo sweep'!$D$15:$G$15</c:f>
              <c:numCache>
                <c:formatCode>General</c:formatCode>
                <c:ptCount val="4"/>
                <c:pt idx="0">
                  <c:v>13.221539999999999</c:v>
                </c:pt>
                <c:pt idx="1">
                  <c:v>13.25094</c:v>
                </c:pt>
                <c:pt idx="2">
                  <c:v>13.976470000000001</c:v>
                </c:pt>
                <c:pt idx="3">
                  <c:v>14.99654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87-4E70-A979-5A34B5E3DAA1}"/>
            </c:ext>
          </c:extLst>
        </c:ser>
        <c:ser>
          <c:idx val="2"/>
          <c:order val="2"/>
          <c:tx>
            <c:v>nom compliant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 exo sweep'!$D$8:$G$8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exo sweep'!$D$14:$G$14</c:f>
              <c:numCache>
                <c:formatCode>General</c:formatCode>
                <c:ptCount val="4"/>
                <c:pt idx="1">
                  <c:v>18.291679999999999</c:v>
                </c:pt>
                <c:pt idx="2">
                  <c:v>16.703959999999999</c:v>
                </c:pt>
                <c:pt idx="3">
                  <c:v>16.292380000000001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87-4E70-A979-5A34B5E3DAA1}"/>
            </c:ext>
          </c:extLst>
        </c:ser>
        <c:ser>
          <c:idx val="3"/>
          <c:order val="3"/>
          <c:tx>
            <c:v>nom stiff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 exo sweep'!$D$8:$G$8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exo sweep'!$D$16:$G$16</c:f>
              <c:numCache>
                <c:formatCode>General</c:formatCode>
                <c:ptCount val="4"/>
                <c:pt idx="1">
                  <c:v>17.02516</c:v>
                </c:pt>
                <c:pt idx="2">
                  <c:v>15.637079999999999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87-4E70-A979-5A34B5E3DAA1}"/>
            </c:ext>
          </c:extLst>
        </c:ser>
        <c:ser>
          <c:idx val="4"/>
          <c:order val="4"/>
          <c:tx>
            <c:v>short compliant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 exo sweep'!$D$8:$G$8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exo sweep'!$D$18:$G$18</c:f>
              <c:numCache>
                <c:formatCode>General</c:formatCode>
                <c:ptCount val="4"/>
                <c:pt idx="0">
                  <c:v>18.272738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787-4E70-A979-5A34B5E3DAA1}"/>
            </c:ext>
          </c:extLst>
        </c:ser>
        <c:ser>
          <c:idx val="5"/>
          <c:order val="5"/>
          <c:tx>
            <c:v>short nom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 exo sweep'!$D$8:$G$8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exo sweep'!$D$19:$G$19</c:f>
              <c:numCache>
                <c:formatCode>General</c:formatCode>
                <c:ptCount val="4"/>
                <c:pt idx="2">
                  <c:v>16.333680000000001</c:v>
                </c:pt>
                <c:pt idx="3">
                  <c:v>17.919329999999999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787-4E70-A979-5A34B5E3DAA1}"/>
            </c:ext>
          </c:extLst>
        </c:ser>
        <c:ser>
          <c:idx val="6"/>
          <c:order val="6"/>
          <c:tx>
            <c:v>short stiff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'4 exo sweep'!$D$8:$G$8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exo sweep'!$D$20:$G$20</c:f>
              <c:numCache>
                <c:formatCode>General</c:formatCode>
                <c:ptCount val="4"/>
                <c:pt idx="1">
                  <c:v>16.355865000000001</c:v>
                </c:pt>
                <c:pt idx="3">
                  <c:v>19.728766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787-4E70-A979-5A34B5E3DAA1}"/>
            </c:ext>
          </c:extLst>
        </c:ser>
        <c:ser>
          <c:idx val="7"/>
          <c:order val="7"/>
          <c:tx>
            <c:v>long compliant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'4 exo sweep'!$D$8:$G$8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exo sweep'!$D$22:$G$22</c:f>
              <c:numCache>
                <c:formatCode>General</c:formatCode>
                <c:ptCount val="4"/>
                <c:pt idx="1">
                  <c:v>17.073768999999999</c:v>
                </c:pt>
                <c:pt idx="2">
                  <c:v>16.574783</c:v>
                </c:pt>
                <c:pt idx="3">
                  <c:v>16.797293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787-4E70-A979-5A34B5E3DAA1}"/>
            </c:ext>
          </c:extLst>
        </c:ser>
        <c:ser>
          <c:idx val="8"/>
          <c:order val="8"/>
          <c:tx>
            <c:v>long nom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'4 exo sweep'!$D$8:$G$8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exo sweep'!$D$23:$G$23</c:f>
              <c:numCache>
                <c:formatCode>General</c:formatCode>
                <c:ptCount val="4"/>
                <c:pt idx="1">
                  <c:v>17.454339999999998</c:v>
                </c:pt>
                <c:pt idx="2">
                  <c:v>16.167369999999998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787-4E70-A979-5A34B5E3DAA1}"/>
            </c:ext>
          </c:extLst>
        </c:ser>
        <c:ser>
          <c:idx val="9"/>
          <c:order val="9"/>
          <c:tx>
            <c:v>long stiff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'4 exo sweep'!$D$8:$G$8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exo sweep'!$D$24:$G$24</c:f>
              <c:numCache>
                <c:formatCode>General</c:formatCode>
                <c:ptCount val="4"/>
                <c:pt idx="0">
                  <c:v>17.366043000000001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787-4E70-A979-5A34B5E3D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075584"/>
        <c:axId val="707073184"/>
      </c:scatterChart>
      <c:valAx>
        <c:axId val="70707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73184"/>
        <c:crosses val="autoZero"/>
        <c:crossBetween val="midCat"/>
      </c:valAx>
      <c:valAx>
        <c:axId val="70707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75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Natural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'2.7 grid'!$D$8:$G$8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grid'!$D$11:$G$11</c:f>
              <c:numCache>
                <c:formatCode>General</c:formatCode>
                <c:ptCount val="4"/>
                <c:pt idx="0">
                  <c:v>11.731275999999999</c:v>
                </c:pt>
                <c:pt idx="1">
                  <c:v>11.522399999999999</c:v>
                </c:pt>
                <c:pt idx="2">
                  <c:v>11.39893</c:v>
                </c:pt>
                <c:pt idx="3">
                  <c:v>12.445986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0F-4DEF-A04C-35D08C6A57CF}"/>
            </c:ext>
          </c:extLst>
        </c:ser>
        <c:ser>
          <c:idx val="1"/>
          <c:order val="1"/>
          <c:tx>
            <c:v>Nom Nom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'2.7 grid'!$D$8:$G$8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grid'!$D$16:$G$16</c:f>
              <c:numCache>
                <c:formatCode>General</c:formatCode>
                <c:ptCount val="4"/>
                <c:pt idx="0">
                  <c:v>11.026180999999999</c:v>
                </c:pt>
                <c:pt idx="1">
                  <c:v>10.835003</c:v>
                </c:pt>
                <c:pt idx="2">
                  <c:v>10.698467000000001</c:v>
                </c:pt>
                <c:pt idx="3">
                  <c:v>11.967513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0F-4DEF-A04C-35D08C6A57CF}"/>
            </c:ext>
          </c:extLst>
        </c:ser>
        <c:ser>
          <c:idx val="2"/>
          <c:order val="2"/>
          <c:tx>
            <c:v>nom compliant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'2.7 grid'!$D$8:$G$8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grid'!$D$15:$G$15</c:f>
              <c:numCache>
                <c:formatCode>General</c:formatCode>
                <c:ptCount val="4"/>
                <c:pt idx="0">
                  <c:v>11.348456000000001</c:v>
                </c:pt>
                <c:pt idx="1">
                  <c:v>11.150013</c:v>
                </c:pt>
                <c:pt idx="2">
                  <c:v>10.980339000000001</c:v>
                </c:pt>
                <c:pt idx="3">
                  <c:v>12.084496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0F-4DEF-A04C-35D08C6A57CF}"/>
            </c:ext>
          </c:extLst>
        </c:ser>
        <c:ser>
          <c:idx val="3"/>
          <c:order val="3"/>
          <c:tx>
            <c:v>nom stiff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'2.7 grid'!$D$8:$G$8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grid'!$D$17:$G$17</c:f>
              <c:numCache>
                <c:formatCode>General</c:formatCode>
                <c:ptCount val="4"/>
                <c:pt idx="0">
                  <c:v>10.774253</c:v>
                </c:pt>
                <c:pt idx="1">
                  <c:v>10.647335</c:v>
                </c:pt>
                <c:pt idx="2">
                  <c:v>10.719427</c:v>
                </c:pt>
                <c:pt idx="3">
                  <c:v>12.190056999999999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0F-4DEF-A04C-35D08C6A57CF}"/>
            </c:ext>
          </c:extLst>
        </c:ser>
        <c:ser>
          <c:idx val="4"/>
          <c:order val="4"/>
          <c:tx>
            <c:v>short compliant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'2.7 grid'!$D$8:$G$8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grid'!$D$21:$G$21</c:f>
              <c:numCache>
                <c:formatCode>General</c:formatCode>
                <c:ptCount val="4"/>
                <c:pt idx="0">
                  <c:v>11.203635</c:v>
                </c:pt>
                <c:pt idx="1">
                  <c:v>10.987245</c:v>
                </c:pt>
                <c:pt idx="2">
                  <c:v>10.851474</c:v>
                </c:pt>
                <c:pt idx="3">
                  <c:v>12.022994000000001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0F-4DEF-A04C-35D08C6A57CF}"/>
            </c:ext>
          </c:extLst>
        </c:ser>
        <c:ser>
          <c:idx val="5"/>
          <c:order val="5"/>
          <c:tx>
            <c:v>short nom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'2.7 grid'!$D$8:$G$8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grid'!$D$22:$G$22</c:f>
              <c:numCache>
                <c:formatCode>General</c:formatCode>
                <c:ptCount val="4"/>
                <c:pt idx="0">
                  <c:v>10.888108000000001</c:v>
                </c:pt>
                <c:pt idx="1">
                  <c:v>10.728116999999999</c:v>
                </c:pt>
                <c:pt idx="2">
                  <c:v>10.767687</c:v>
                </c:pt>
                <c:pt idx="3">
                  <c:v>12.226369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40F-4DEF-A04C-35D08C6A57CF}"/>
            </c:ext>
          </c:extLst>
        </c:ser>
        <c:ser>
          <c:idx val="6"/>
          <c:order val="6"/>
          <c:tx>
            <c:v>short stiff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'2.7 grid'!$D$8:$G$8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grid'!$D$23:$G$23</c:f>
              <c:numCache>
                <c:formatCode>General</c:formatCode>
                <c:ptCount val="4"/>
                <c:pt idx="0">
                  <c:v>10.838986999999999</c:v>
                </c:pt>
                <c:pt idx="1">
                  <c:v>11.001853000000001</c:v>
                </c:pt>
                <c:pt idx="2">
                  <c:v>11.405944</c:v>
                </c:pt>
                <c:pt idx="3">
                  <c:v>13.003933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40F-4DEF-A04C-35D08C6A57CF}"/>
            </c:ext>
          </c:extLst>
        </c:ser>
        <c:ser>
          <c:idx val="7"/>
          <c:order val="7"/>
          <c:tx>
            <c:v>long compliant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'2.7 grid'!$D$8:$G$8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grid'!$D$27:$G$27</c:f>
              <c:numCache>
                <c:formatCode>General</c:formatCode>
                <c:ptCount val="4"/>
                <c:pt idx="0">
                  <c:v>11.572773</c:v>
                </c:pt>
                <c:pt idx="1">
                  <c:v>11.30528</c:v>
                </c:pt>
                <c:pt idx="2">
                  <c:v>11.21571</c:v>
                </c:pt>
                <c:pt idx="3">
                  <c:v>12.247591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40F-4DEF-A04C-35D08C6A57CF}"/>
            </c:ext>
          </c:extLst>
        </c:ser>
        <c:ser>
          <c:idx val="8"/>
          <c:order val="8"/>
          <c:tx>
            <c:v>long nom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'2.7 grid'!$D$8:$G$8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grid'!$D$28:$G$28</c:f>
              <c:numCache>
                <c:formatCode>General</c:formatCode>
                <c:ptCount val="4"/>
                <c:pt idx="0">
                  <c:v>11.385911</c:v>
                </c:pt>
                <c:pt idx="1">
                  <c:v>11.177586</c:v>
                </c:pt>
                <c:pt idx="2">
                  <c:v>10.966885</c:v>
                </c:pt>
                <c:pt idx="3">
                  <c:v>12.043964000000001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40F-4DEF-A04C-35D08C6A57CF}"/>
            </c:ext>
          </c:extLst>
        </c:ser>
        <c:ser>
          <c:idx val="9"/>
          <c:order val="9"/>
          <c:tx>
            <c:v>long stiff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'2.7 grid'!$D$8:$G$8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grid'!$D$29:$G$29</c:f>
              <c:numCache>
                <c:formatCode>General</c:formatCode>
                <c:ptCount val="4"/>
                <c:pt idx="0">
                  <c:v>11.221195</c:v>
                </c:pt>
                <c:pt idx="1">
                  <c:v>10.971835</c:v>
                </c:pt>
                <c:pt idx="2">
                  <c:v>10.778619000000001</c:v>
                </c:pt>
                <c:pt idx="3">
                  <c:v>11.939745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40F-4DEF-A04C-35D08C6A5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075584"/>
        <c:axId val="707073184"/>
      </c:scatterChart>
      <c:valAx>
        <c:axId val="70707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73184"/>
        <c:crosses val="autoZero"/>
        <c:crossBetween val="midCat"/>
      </c:valAx>
      <c:valAx>
        <c:axId val="70707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75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Natural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 grid'!$D$8:$G$8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grid'!$D$11:$G$11</c:f>
              <c:numCache>
                <c:formatCode>General</c:formatCode>
                <c:ptCount val="4"/>
                <c:pt idx="0">
                  <c:v>17.968924999999999</c:v>
                </c:pt>
                <c:pt idx="1">
                  <c:v>17.407076</c:v>
                </c:pt>
                <c:pt idx="2">
                  <c:v>17.503122999999999</c:v>
                </c:pt>
                <c:pt idx="3">
                  <c:v>19.048659000000001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02-48E8-A789-1ABDBB608085}"/>
            </c:ext>
          </c:extLst>
        </c:ser>
        <c:ser>
          <c:idx val="1"/>
          <c:order val="1"/>
          <c:tx>
            <c:v>Nom Nom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 grid'!$D$8:$G$8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grid'!$D$16:$G$16</c:f>
              <c:numCache>
                <c:formatCode>General</c:formatCode>
                <c:ptCount val="4"/>
                <c:pt idx="0">
                  <c:v>15.281987000000001</c:v>
                </c:pt>
                <c:pt idx="1">
                  <c:v>14.838406000000001</c:v>
                </c:pt>
                <c:pt idx="2">
                  <c:v>16.168668</c:v>
                </c:pt>
                <c:pt idx="3">
                  <c:v>17.208355999999998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02-48E8-A789-1ABDBB608085}"/>
            </c:ext>
          </c:extLst>
        </c:ser>
        <c:ser>
          <c:idx val="2"/>
          <c:order val="2"/>
          <c:tx>
            <c:v>nom compliant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 grid'!$D$8:$G$8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grid'!$D$15:$G$15</c:f>
              <c:numCache>
                <c:formatCode>General</c:formatCode>
                <c:ptCount val="4"/>
                <c:pt idx="0">
                  <c:v>16.285982000000001</c:v>
                </c:pt>
                <c:pt idx="1">
                  <c:v>15.969706</c:v>
                </c:pt>
                <c:pt idx="2">
                  <c:v>17.337682999999998</c:v>
                </c:pt>
                <c:pt idx="3">
                  <c:v>17.790658000000001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02-48E8-A789-1ABDBB608085}"/>
            </c:ext>
          </c:extLst>
        </c:ser>
        <c:ser>
          <c:idx val="3"/>
          <c:order val="3"/>
          <c:tx>
            <c:v>nom stiff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 grid'!$D$8:$G$8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grid'!$D$17:$G$17</c:f>
              <c:numCache>
                <c:formatCode>General</c:formatCode>
                <c:ptCount val="4"/>
                <c:pt idx="0">
                  <c:v>14.520813</c:v>
                </c:pt>
                <c:pt idx="1">
                  <c:v>14.375244</c:v>
                </c:pt>
                <c:pt idx="2">
                  <c:v>15.989204000000001</c:v>
                </c:pt>
                <c:pt idx="3">
                  <c:v>17.618579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02-48E8-A789-1ABDBB608085}"/>
            </c:ext>
          </c:extLst>
        </c:ser>
        <c:ser>
          <c:idx val="4"/>
          <c:order val="4"/>
          <c:tx>
            <c:v>short compliant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 grid'!$D$8:$G$8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grid'!$D$21:$G$21</c:f>
              <c:numCache>
                <c:formatCode>General</c:formatCode>
                <c:ptCount val="4"/>
                <c:pt idx="0">
                  <c:v>15.947742</c:v>
                </c:pt>
                <c:pt idx="1">
                  <c:v>15.586573</c:v>
                </c:pt>
                <c:pt idx="2">
                  <c:v>16.822281</c:v>
                </c:pt>
                <c:pt idx="3">
                  <c:v>17.514571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502-48E8-A789-1ABDBB608085}"/>
            </c:ext>
          </c:extLst>
        </c:ser>
        <c:ser>
          <c:idx val="5"/>
          <c:order val="5"/>
          <c:tx>
            <c:v>short nom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 grid'!$D$8:$G$8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grid'!$D$22:$G$22</c:f>
              <c:numCache>
                <c:formatCode>General</c:formatCode>
                <c:ptCount val="4"/>
                <c:pt idx="0">
                  <c:v>14.824420999999999</c:v>
                </c:pt>
                <c:pt idx="1">
                  <c:v>14.541993</c:v>
                </c:pt>
                <c:pt idx="2">
                  <c:v>16.129128999999999</c:v>
                </c:pt>
                <c:pt idx="3">
                  <c:v>17.346247999999999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502-48E8-A789-1ABDBB608085}"/>
            </c:ext>
          </c:extLst>
        </c:ser>
        <c:ser>
          <c:idx val="6"/>
          <c:order val="6"/>
          <c:tx>
            <c:v>short stiff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'4 grid'!$D$8:$G$8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grid'!$D$23:$G$23</c:f>
              <c:numCache>
                <c:formatCode>General</c:formatCode>
                <c:ptCount val="4"/>
                <c:pt idx="0">
                  <c:v>14.545802999999999</c:v>
                </c:pt>
                <c:pt idx="1">
                  <c:v>14.961633000000001</c:v>
                </c:pt>
                <c:pt idx="2">
                  <c:v>17.169218000000001</c:v>
                </c:pt>
                <c:pt idx="3">
                  <c:v>18.960162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502-48E8-A789-1ABDBB608085}"/>
            </c:ext>
          </c:extLst>
        </c:ser>
        <c:ser>
          <c:idx val="7"/>
          <c:order val="7"/>
          <c:tx>
            <c:v>long compliant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'4 grid'!$D$8:$G$8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grid'!$D$27:$G$27</c:f>
              <c:numCache>
                <c:formatCode>General</c:formatCode>
                <c:ptCount val="4"/>
                <c:pt idx="0">
                  <c:v>16.642357000000001</c:v>
                </c:pt>
                <c:pt idx="1">
                  <c:v>16.339500000000001</c:v>
                </c:pt>
                <c:pt idx="2">
                  <c:v>17.728614</c:v>
                </c:pt>
                <c:pt idx="3">
                  <c:v>18.130882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502-48E8-A789-1ABDBB608085}"/>
            </c:ext>
          </c:extLst>
        </c:ser>
        <c:ser>
          <c:idx val="8"/>
          <c:order val="8"/>
          <c:tx>
            <c:v>long nom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'4 grid'!$D$8:$G$8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grid'!$D$28:$G$28</c:f>
              <c:numCache>
                <c:formatCode>General</c:formatCode>
                <c:ptCount val="4"/>
                <c:pt idx="0">
                  <c:v>15.954845000000001</c:v>
                </c:pt>
                <c:pt idx="1">
                  <c:v>15.405623</c:v>
                </c:pt>
                <c:pt idx="2">
                  <c:v>16.527564000000002</c:v>
                </c:pt>
                <c:pt idx="3">
                  <c:v>17.334009999999999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502-48E8-A789-1ABDBB608085}"/>
            </c:ext>
          </c:extLst>
        </c:ser>
        <c:ser>
          <c:idx val="9"/>
          <c:order val="9"/>
          <c:tx>
            <c:v>long stiff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'4 grid'!$D$8:$G$8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grid'!$D$29:$G$29</c:f>
              <c:numCache>
                <c:formatCode>General</c:formatCode>
                <c:ptCount val="4"/>
                <c:pt idx="0">
                  <c:v>15.143200999999999</c:v>
                </c:pt>
                <c:pt idx="1">
                  <c:v>14.65597</c:v>
                </c:pt>
                <c:pt idx="2">
                  <c:v>15.960575</c:v>
                </c:pt>
                <c:pt idx="3">
                  <c:v>16.994731000000002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502-48E8-A789-1ABDBB608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075584"/>
        <c:axId val="707073184"/>
      </c:scatterChart>
      <c:valAx>
        <c:axId val="70707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73184"/>
        <c:crosses val="autoZero"/>
        <c:crossBetween val="midCat"/>
      </c:valAx>
      <c:valAx>
        <c:axId val="70707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75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Natural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 grid 12.24'!$D$8:$G$8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 12.24'!$D$11:$G$11</c:f>
              <c:numCache>
                <c:formatCode>General</c:formatCode>
                <c:ptCount val="4"/>
                <c:pt idx="0">
                  <c:v>15.043569</c:v>
                </c:pt>
                <c:pt idx="1">
                  <c:v>14.700310999999999</c:v>
                </c:pt>
                <c:pt idx="2">
                  <c:v>16.002903</c:v>
                </c:pt>
                <c:pt idx="3">
                  <c:v>16.193719000000002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DC-42DF-BE03-7CAF9F43F9EC}"/>
            </c:ext>
          </c:extLst>
        </c:ser>
        <c:ser>
          <c:idx val="1"/>
          <c:order val="1"/>
          <c:tx>
            <c:v>Nom Nom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 grid 12.24'!$D$8:$G$8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 12.24'!$D$16:$G$16</c:f>
              <c:numCache>
                <c:formatCode>General</c:formatCode>
                <c:ptCount val="4"/>
                <c:pt idx="0">
                  <c:v>13.420840999999999</c:v>
                </c:pt>
                <c:pt idx="1">
                  <c:v>13.045503999999999</c:v>
                </c:pt>
                <c:pt idx="2">
                  <c:v>14.346270000000001</c:v>
                </c:pt>
                <c:pt idx="3">
                  <c:v>15.514805000000001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DC-42DF-BE03-7CAF9F43F9EC}"/>
            </c:ext>
          </c:extLst>
        </c:ser>
        <c:ser>
          <c:idx val="2"/>
          <c:order val="2"/>
          <c:tx>
            <c:v>nom compliant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 grid 12.24'!$D$8:$G$8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 12.24'!$D$15:$G$15</c:f>
              <c:numCache>
                <c:formatCode>General</c:formatCode>
                <c:ptCount val="4"/>
                <c:pt idx="0">
                  <c:v>14.153262</c:v>
                </c:pt>
                <c:pt idx="1">
                  <c:v>13.769769</c:v>
                </c:pt>
                <c:pt idx="2">
                  <c:v>14.946059999999999</c:v>
                </c:pt>
                <c:pt idx="3">
                  <c:v>15.446721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DC-42DF-BE03-7CAF9F43F9EC}"/>
            </c:ext>
          </c:extLst>
        </c:ser>
        <c:ser>
          <c:idx val="3"/>
          <c:order val="3"/>
          <c:tx>
            <c:v>nom stiff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 grid 12.24'!$D$8:$G$8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 12.24'!$D$17:$G$17</c:f>
              <c:numCache>
                <c:formatCode>General</c:formatCode>
                <c:ptCount val="4"/>
                <c:pt idx="0">
                  <c:v>13.004187999999999</c:v>
                </c:pt>
                <c:pt idx="1">
                  <c:v>13.150717</c:v>
                </c:pt>
                <c:pt idx="2">
                  <c:v>15.011099</c:v>
                </c:pt>
                <c:pt idx="3">
                  <c:v>16.537302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DC-42DF-BE03-7CAF9F43F9EC}"/>
            </c:ext>
          </c:extLst>
        </c:ser>
        <c:ser>
          <c:idx val="4"/>
          <c:order val="4"/>
          <c:tx>
            <c:v>short compliant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 grid 12.24'!$D$8:$G$8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 12.24'!$D$21:$G$21</c:f>
              <c:numCache>
                <c:formatCode>General</c:formatCode>
                <c:ptCount val="4"/>
                <c:pt idx="0">
                  <c:v>13.911338000000001</c:v>
                </c:pt>
                <c:pt idx="1">
                  <c:v>13.416015</c:v>
                </c:pt>
                <c:pt idx="2">
                  <c:v>14.561228</c:v>
                </c:pt>
                <c:pt idx="3">
                  <c:v>15.203208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CDC-42DF-BE03-7CAF9F43F9EC}"/>
            </c:ext>
          </c:extLst>
        </c:ser>
        <c:ser>
          <c:idx val="5"/>
          <c:order val="5"/>
          <c:tx>
            <c:v>short nom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 grid 12.24'!$D$8:$G$8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 12.24'!$D$22:$G$22</c:f>
              <c:numCache>
                <c:formatCode>General</c:formatCode>
                <c:ptCount val="4"/>
                <c:pt idx="0">
                  <c:v>13.109489999999999</c:v>
                </c:pt>
                <c:pt idx="1">
                  <c:v>13.025745000000001</c:v>
                </c:pt>
                <c:pt idx="2">
                  <c:v>14.60103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CDC-42DF-BE03-7CAF9F43F9EC}"/>
            </c:ext>
          </c:extLst>
        </c:ser>
        <c:ser>
          <c:idx val="6"/>
          <c:order val="6"/>
          <c:tx>
            <c:v>short stiff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'4 grid 12.24'!$D$8:$G$8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 12.24'!$D$23:$G$23</c:f>
              <c:numCache>
                <c:formatCode>General</c:formatCode>
                <c:ptCount val="4"/>
                <c:pt idx="0">
                  <c:v>13.146532000000001</c:v>
                </c:pt>
                <c:pt idx="1">
                  <c:v>14.095967</c:v>
                </c:pt>
                <c:pt idx="2">
                  <c:v>15.990974</c:v>
                </c:pt>
                <c:pt idx="3">
                  <c:v>17.669705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CDC-42DF-BE03-7CAF9F43F9EC}"/>
            </c:ext>
          </c:extLst>
        </c:ser>
        <c:ser>
          <c:idx val="7"/>
          <c:order val="7"/>
          <c:tx>
            <c:v>long compliant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'4 grid 12.24'!$D$8:$G$8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 12.24'!$D$27:$G$27</c:f>
              <c:numCache>
                <c:formatCode>General</c:formatCode>
                <c:ptCount val="4"/>
                <c:pt idx="0">
                  <c:v>14.432468</c:v>
                </c:pt>
                <c:pt idx="1">
                  <c:v>14.198001</c:v>
                </c:pt>
                <c:pt idx="2">
                  <c:v>14.952510999999999</c:v>
                </c:pt>
                <c:pt idx="3">
                  <c:v>15.667849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CDC-42DF-BE03-7CAF9F43F9EC}"/>
            </c:ext>
          </c:extLst>
        </c:ser>
        <c:ser>
          <c:idx val="8"/>
          <c:order val="8"/>
          <c:tx>
            <c:v>long nom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'4 grid 12.24'!$D$8:$G$8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 12.24'!$D$28:$G$28</c:f>
              <c:numCache>
                <c:formatCode>General</c:formatCode>
                <c:ptCount val="4"/>
                <c:pt idx="0">
                  <c:v>13.895263999999999</c:v>
                </c:pt>
                <c:pt idx="1">
                  <c:v>13.335151</c:v>
                </c:pt>
                <c:pt idx="2">
                  <c:v>14.719719</c:v>
                </c:pt>
                <c:pt idx="3">
                  <c:v>15.267431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CDC-42DF-BE03-7CAF9F43F9EC}"/>
            </c:ext>
          </c:extLst>
        </c:ser>
        <c:ser>
          <c:idx val="9"/>
          <c:order val="9"/>
          <c:tx>
            <c:v>long stiff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'4 grid 12.24'!$D$8:$G$8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 12.24'!$D$29:$G$29</c:f>
              <c:numCache>
                <c:formatCode>General</c:formatCode>
                <c:ptCount val="4"/>
                <c:pt idx="0">
                  <c:v>13.319224999999999</c:v>
                </c:pt>
                <c:pt idx="1">
                  <c:v>12.986893999999999</c:v>
                </c:pt>
                <c:pt idx="2">
                  <c:v>14.458045</c:v>
                </c:pt>
                <c:pt idx="3">
                  <c:v>15.71936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CDC-42DF-BE03-7CAF9F43F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075584"/>
        <c:axId val="707073184"/>
      </c:scatterChart>
      <c:valAx>
        <c:axId val="70707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73184"/>
        <c:crosses val="autoZero"/>
        <c:crossBetween val="midCat"/>
      </c:valAx>
      <c:valAx>
        <c:axId val="70707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75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Natural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'2.7 grid 12.24'!$D$8:$G$8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grid 12.24'!$D$11:$G$11</c:f>
              <c:numCache>
                <c:formatCode>General</c:formatCode>
                <c:ptCount val="4"/>
                <c:pt idx="0">
                  <c:v>11.308961</c:v>
                </c:pt>
                <c:pt idx="1">
                  <c:v>11.120588</c:v>
                </c:pt>
                <c:pt idx="2">
                  <c:v>11.069881000000001</c:v>
                </c:pt>
                <c:pt idx="3">
                  <c:v>11.199204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A6-417D-B142-3165A022BCC9}"/>
            </c:ext>
          </c:extLst>
        </c:ser>
        <c:ser>
          <c:idx val="1"/>
          <c:order val="1"/>
          <c:tx>
            <c:v>Nom Nom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'2.7 grid 12.24'!$D$8:$G$8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grid 12.24'!$D$16:$G$16</c:f>
              <c:numCache>
                <c:formatCode>General</c:formatCode>
                <c:ptCount val="4"/>
                <c:pt idx="0">
                  <c:v>10.619084000000001</c:v>
                </c:pt>
                <c:pt idx="1">
                  <c:v>10.496262</c:v>
                </c:pt>
                <c:pt idx="2">
                  <c:v>10.594480000000001</c:v>
                </c:pt>
                <c:pt idx="3">
                  <c:v>11.753565999999999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A6-417D-B142-3165A022BCC9}"/>
            </c:ext>
          </c:extLst>
        </c:ser>
        <c:ser>
          <c:idx val="5"/>
          <c:order val="5"/>
          <c:tx>
            <c:v>short nom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'2.7 grid 12.24'!$D$8:$G$8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grid 12.24'!$D$22:$G$22</c:f>
              <c:numCache>
                <c:formatCode>General</c:formatCode>
                <c:ptCount val="4"/>
                <c:pt idx="0">
                  <c:v>10.495385000000001</c:v>
                </c:pt>
                <c:pt idx="1">
                  <c:v>10.66757</c:v>
                </c:pt>
                <c:pt idx="2">
                  <c:v>11.018117</c:v>
                </c:pt>
                <c:pt idx="3">
                  <c:v>12.269337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9A6-417D-B142-3165A022B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075584"/>
        <c:axId val="70707318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nom compliant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'2.7 grid 12.24'!$D$8:$G$8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0.60799999999999998</c:v>
                      </c:pt>
                      <c:pt idx="1">
                        <c:v>0.64800000000000002</c:v>
                      </c:pt>
                      <c:pt idx="2">
                        <c:v>0.6835</c:v>
                      </c:pt>
                      <c:pt idx="3">
                        <c:v>0.72350000000000003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'2.7 grid 12.24'!$D$15:$G$15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10.918384</c:v>
                      </c:pt>
                      <c:pt idx="1">
                        <c:v>10.721681999999999</c:v>
                      </c:pt>
                      <c:pt idx="2">
                        <c:v>10.657762</c:v>
                      </c:pt>
                      <c:pt idx="3">
                        <c:v>11.677771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89A6-417D-B142-3165A022BCC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nom stiff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'2.7 grid 12.24'!$D$8:$G$8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0.60799999999999998</c:v>
                      </c:pt>
                      <c:pt idx="1">
                        <c:v>0.64800000000000002</c:v>
                      </c:pt>
                      <c:pt idx="2">
                        <c:v>0.6835</c:v>
                      </c:pt>
                      <c:pt idx="3">
                        <c:v>0.72350000000000003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'2.7 grid 12.24'!$D$17:$G$17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10.394321</c:v>
                      </c:pt>
                      <c:pt idx="1">
                        <c:v>10.50614</c:v>
                      </c:pt>
                      <c:pt idx="2">
                        <c:v>10.919468</c:v>
                      </c:pt>
                      <c:pt idx="3">
                        <c:v>12.162979999999999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9A6-417D-B142-3165A022BCC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short compliant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'2.7 grid 12.24'!$D$8:$G$8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0.60799999999999998</c:v>
                      </c:pt>
                      <c:pt idx="1">
                        <c:v>0.64800000000000002</c:v>
                      </c:pt>
                      <c:pt idx="2">
                        <c:v>0.6835</c:v>
                      </c:pt>
                      <c:pt idx="3">
                        <c:v>0.72350000000000003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'2.7 grid 12.24'!$D$21:$G$21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10.759328999999999</c:v>
                      </c:pt>
                      <c:pt idx="1">
                        <c:v>10.567055999999999</c:v>
                      </c:pt>
                      <c:pt idx="2">
                        <c:v>10.573487</c:v>
                      </c:pt>
                      <c:pt idx="3">
                        <c:v>11.662921000000001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9A6-417D-B142-3165A022BCC9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short stiff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'2.7 grid 12.24'!$D$8:$G$8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0.60799999999999998</c:v>
                      </c:pt>
                      <c:pt idx="1">
                        <c:v>0.64800000000000002</c:v>
                      </c:pt>
                      <c:pt idx="2">
                        <c:v>0.6835</c:v>
                      </c:pt>
                      <c:pt idx="3">
                        <c:v>0.72350000000000003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'2.7 grid 12.24'!$D$23:$G$23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10.615292</c:v>
                      </c:pt>
                      <c:pt idx="1">
                        <c:v>11.182134</c:v>
                      </c:pt>
                      <c:pt idx="2">
                        <c:v>11.561756000000001</c:v>
                      </c:pt>
                      <c:pt idx="3">
                        <c:v>13.064632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9A6-417D-B142-3165A022BCC9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long compliant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'2.7 grid 12.24'!$D$8:$G$8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0.60799999999999998</c:v>
                      </c:pt>
                      <c:pt idx="1">
                        <c:v>0.64800000000000002</c:v>
                      </c:pt>
                      <c:pt idx="2">
                        <c:v>0.6835</c:v>
                      </c:pt>
                      <c:pt idx="3">
                        <c:v>0.72350000000000003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'2.7 grid 12.24'!$D$27:$G$27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11.147981</c:v>
                      </c:pt>
                      <c:pt idx="1">
                        <c:v>10.916016000000001</c:v>
                      </c:pt>
                      <c:pt idx="2">
                        <c:v>10.850552</c:v>
                      </c:pt>
                      <c:pt idx="3">
                        <c:v>10.959847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9A6-417D-B142-3165A022BCC9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long nom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'2.7 grid 12.24'!$D$8:$G$8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0.60799999999999998</c:v>
                      </c:pt>
                      <c:pt idx="1">
                        <c:v>0.64800000000000002</c:v>
                      </c:pt>
                      <c:pt idx="2">
                        <c:v>0.6835</c:v>
                      </c:pt>
                      <c:pt idx="3">
                        <c:v>0.72350000000000003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'2.7 grid 12.24'!$D$28:$G$28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10.998481999999999</c:v>
                      </c:pt>
                      <c:pt idx="1">
                        <c:v>10.708437</c:v>
                      </c:pt>
                      <c:pt idx="2">
                        <c:v>10.636528</c:v>
                      </c:pt>
                      <c:pt idx="3">
                        <c:v>11.667160000000001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9A6-417D-B142-3165A022BCC9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long stiff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'2.7 grid 12.24'!$D$8:$G$8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0.60799999999999998</c:v>
                      </c:pt>
                      <c:pt idx="1">
                        <c:v>0.64800000000000002</c:v>
                      </c:pt>
                      <c:pt idx="2">
                        <c:v>0.6835</c:v>
                      </c:pt>
                      <c:pt idx="3">
                        <c:v>0.72350000000000003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'2.7 grid 12.24'!$D$29:$G$29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10.790494000000001</c:v>
                      </c:pt>
                      <c:pt idx="1">
                        <c:v>10.644588000000001</c:v>
                      </c:pt>
                      <c:pt idx="2">
                        <c:v>10.548038</c:v>
                      </c:pt>
                      <c:pt idx="3">
                        <c:v>11.725153000000001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9A6-417D-B142-3165A022BCC9}"/>
                  </c:ext>
                </c:extLst>
              </c15:ser>
            </c15:filteredScatterSeries>
          </c:ext>
        </c:extLst>
      </c:scatterChart>
      <c:valAx>
        <c:axId val="70707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73184"/>
        <c:crosses val="autoZero"/>
        <c:crossBetween val="midCat"/>
      </c:valAx>
      <c:valAx>
        <c:axId val="70707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75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Natural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 grid 12.24 (2)'!$D$8:$G$8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 12.24 (2)'!$D$11:$G$11</c:f>
              <c:numCache>
                <c:formatCode>General</c:formatCode>
                <c:ptCount val="4"/>
                <c:pt idx="0">
                  <c:v>15.310264999999999</c:v>
                </c:pt>
                <c:pt idx="1">
                  <c:v>15.048802</c:v>
                </c:pt>
                <c:pt idx="2">
                  <c:v>16.300446000000001</c:v>
                </c:pt>
                <c:pt idx="3">
                  <c:v>16.459140000000001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D9-4856-861C-80B3BC26ABB8}"/>
            </c:ext>
          </c:extLst>
        </c:ser>
        <c:ser>
          <c:idx val="1"/>
          <c:order val="1"/>
          <c:tx>
            <c:v>Nom Nom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 grid 12.24 (2)'!$D$8:$G$8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 12.24 (2)'!$D$16:$G$16</c:f>
              <c:numCache>
                <c:formatCode>General</c:formatCode>
                <c:ptCount val="4"/>
                <c:pt idx="0">
                  <c:v>13.699228</c:v>
                </c:pt>
                <c:pt idx="1">
                  <c:v>13.54735</c:v>
                </c:pt>
                <c:pt idx="2">
                  <c:v>14.632049</c:v>
                </c:pt>
                <c:pt idx="3">
                  <c:v>16.051697000000001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D9-4856-861C-80B3BC26ABB8}"/>
            </c:ext>
          </c:extLst>
        </c:ser>
        <c:ser>
          <c:idx val="5"/>
          <c:order val="5"/>
          <c:tx>
            <c:v>short nom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 grid 12.24 (2)'!$D$8:$G$8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 12.24 (2)'!$D$22:$G$22</c:f>
              <c:numCache>
                <c:formatCode>General</c:formatCode>
                <c:ptCount val="4"/>
                <c:pt idx="0">
                  <c:v>13.370756</c:v>
                </c:pt>
                <c:pt idx="1">
                  <c:v>13.285695</c:v>
                </c:pt>
                <c:pt idx="2">
                  <c:v>14.831022000000001</c:v>
                </c:pt>
                <c:pt idx="3">
                  <c:v>16.492588999999999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CD9-4856-861C-80B3BC26A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075584"/>
        <c:axId val="70707318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nom compliant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'4 grid 12.24 (2)'!$D$8:$G$8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0.60399999999999998</c:v>
                      </c:pt>
                      <c:pt idx="1">
                        <c:v>0.64400000000000002</c:v>
                      </c:pt>
                      <c:pt idx="2">
                        <c:v>0.68400000000000005</c:v>
                      </c:pt>
                      <c:pt idx="3">
                        <c:v>0.72399999999999998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'4 grid 12.24 (2)'!$D$15:$G$15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14.394450000000001</c:v>
                      </c:pt>
                      <c:pt idx="1">
                        <c:v>14.115467000000001</c:v>
                      </c:pt>
                      <c:pt idx="2">
                        <c:v>15.148153000000001</c:v>
                      </c:pt>
                      <c:pt idx="3">
                        <c:v>15.814506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7CD9-4856-861C-80B3BC26ABB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nom stiff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 grid 12.24 (2)'!$D$8:$G$8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0.60399999999999998</c:v>
                      </c:pt>
                      <c:pt idx="1">
                        <c:v>0.64400000000000002</c:v>
                      </c:pt>
                      <c:pt idx="2">
                        <c:v>0.68400000000000005</c:v>
                      </c:pt>
                      <c:pt idx="3">
                        <c:v>0.72399999999999998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 grid 12.24 (2)'!$D$17:$G$17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13.234811000000001</c:v>
                      </c:pt>
                      <c:pt idx="1">
                        <c:v>13.419562000000001</c:v>
                      </c:pt>
                      <c:pt idx="2">
                        <c:v>15.240169</c:v>
                      </c:pt>
                      <c:pt idx="3">
                        <c:v>17.092821000000001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CD9-4856-861C-80B3BC26ABB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short compliant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 grid 12.24 (2)'!$D$8:$G$8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0.60399999999999998</c:v>
                      </c:pt>
                      <c:pt idx="1">
                        <c:v>0.64400000000000002</c:v>
                      </c:pt>
                      <c:pt idx="2">
                        <c:v>0.68400000000000005</c:v>
                      </c:pt>
                      <c:pt idx="3">
                        <c:v>0.72399999999999998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 grid 12.24 (2)'!$D$21:$G$21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14.186170000000001</c:v>
                      </c:pt>
                      <c:pt idx="1">
                        <c:v>13.685762</c:v>
                      </c:pt>
                      <c:pt idx="2">
                        <c:v>14.830164999999999</c:v>
                      </c:pt>
                      <c:pt idx="3">
                        <c:v>15.592643000000001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CD9-4856-861C-80B3BC26ABB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short stiff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 grid 12.24 (2)'!$D$8:$G$8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0.60399999999999998</c:v>
                      </c:pt>
                      <c:pt idx="1">
                        <c:v>0.64400000000000002</c:v>
                      </c:pt>
                      <c:pt idx="2">
                        <c:v>0.68400000000000005</c:v>
                      </c:pt>
                      <c:pt idx="3">
                        <c:v>0.72399999999999998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 grid 12.24 (2)'!$D$23:$G$23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13.430968</c:v>
                      </c:pt>
                      <c:pt idx="1">
                        <c:v>14.365443000000001</c:v>
                      </c:pt>
                      <c:pt idx="2">
                        <c:v>16.272478</c:v>
                      </c:pt>
                      <c:pt idx="3">
                        <c:v>18.043804000000002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CD9-4856-861C-80B3BC26ABB8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long compliant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 grid 12.24 (2)'!$D$8:$G$8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0.60399999999999998</c:v>
                      </c:pt>
                      <c:pt idx="1">
                        <c:v>0.64400000000000002</c:v>
                      </c:pt>
                      <c:pt idx="2">
                        <c:v>0.68400000000000005</c:v>
                      </c:pt>
                      <c:pt idx="3">
                        <c:v>0.72399999999999998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 grid 12.24 (2)'!$D$27:$G$27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14.671505</c:v>
                      </c:pt>
                      <c:pt idx="1">
                        <c:v>14.459019</c:v>
                      </c:pt>
                      <c:pt idx="2">
                        <c:v>15.455527999999999</c:v>
                      </c:pt>
                      <c:pt idx="3">
                        <c:v>15.803293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CD9-4856-861C-80B3BC26ABB8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long nom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 grid 12.24 (2)'!$D$8:$G$8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0.60399999999999998</c:v>
                      </c:pt>
                      <c:pt idx="1">
                        <c:v>0.64400000000000002</c:v>
                      </c:pt>
                      <c:pt idx="2">
                        <c:v>0.68400000000000005</c:v>
                      </c:pt>
                      <c:pt idx="3">
                        <c:v>0.72399999999999998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 grid 12.24 (2)'!$D$28:$G$28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14.044463</c:v>
                      </c:pt>
                      <c:pt idx="1">
                        <c:v>13.603009999999999</c:v>
                      </c:pt>
                      <c:pt idx="2">
                        <c:v>14.88682</c:v>
                      </c:pt>
                      <c:pt idx="3">
                        <c:v>15.536303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CD9-4856-861C-80B3BC26ABB8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long stiff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 grid 12.24 (2)'!$D$8:$G$8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0.60399999999999998</c:v>
                      </c:pt>
                      <c:pt idx="1">
                        <c:v>0.64400000000000002</c:v>
                      </c:pt>
                      <c:pt idx="2">
                        <c:v>0.68400000000000005</c:v>
                      </c:pt>
                      <c:pt idx="3">
                        <c:v>0.72399999999999998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 grid 12.24 (2)'!$D$29:$G$29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13.641543</c:v>
                      </c:pt>
                      <c:pt idx="1">
                        <c:v>13.290149</c:v>
                      </c:pt>
                      <c:pt idx="2">
                        <c:v>14.68605</c:v>
                      </c:pt>
                      <c:pt idx="3">
                        <c:v>15.951404999999999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CD9-4856-861C-80B3BC26ABB8}"/>
                  </c:ext>
                </c:extLst>
              </c15:ser>
            </c15:filteredScatterSeries>
          </c:ext>
        </c:extLst>
      </c:scatterChart>
      <c:valAx>
        <c:axId val="70707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73184"/>
        <c:crosses val="autoZero"/>
        <c:crossBetween val="midCat"/>
      </c:valAx>
      <c:valAx>
        <c:axId val="707073184"/>
        <c:scaling>
          <c:orientation val="minMax"/>
          <c:min val="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75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Natural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'2.7 grid 12.24_actualmin'!$D$8:$G$8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grid 12.24_actualmin'!$D$11:$G$11</c:f>
              <c:numCache>
                <c:formatCode>General</c:formatCode>
                <c:ptCount val="4"/>
                <c:pt idx="0">
                  <c:v>11.308961</c:v>
                </c:pt>
                <c:pt idx="1">
                  <c:v>11.120588</c:v>
                </c:pt>
                <c:pt idx="2">
                  <c:v>11.069881000000001</c:v>
                </c:pt>
                <c:pt idx="3">
                  <c:v>11.199204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18-4B46-A1F7-A9B974726EDC}"/>
            </c:ext>
          </c:extLst>
        </c:ser>
        <c:ser>
          <c:idx val="1"/>
          <c:order val="1"/>
          <c:tx>
            <c:v>Nom Nom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'2.7 grid 12.24_actualmin'!$D$8:$G$8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grid 12.24_actualmin'!$D$16:$G$16</c:f>
              <c:numCache>
                <c:formatCode>General</c:formatCode>
                <c:ptCount val="4"/>
                <c:pt idx="0">
                  <c:v>10.619084000000001</c:v>
                </c:pt>
                <c:pt idx="1">
                  <c:v>10.496262</c:v>
                </c:pt>
                <c:pt idx="2">
                  <c:v>10.594480000000001</c:v>
                </c:pt>
                <c:pt idx="3">
                  <c:v>11.753565999999999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18-4B46-A1F7-A9B974726EDC}"/>
            </c:ext>
          </c:extLst>
        </c:ser>
        <c:ser>
          <c:idx val="5"/>
          <c:order val="5"/>
          <c:tx>
            <c:v>short nom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'2.7 grid 12.24_actualmin'!$D$8:$G$8</c:f>
              <c:numCache>
                <c:formatCode>General</c:formatCode>
                <c:ptCount val="4"/>
                <c:pt idx="0">
                  <c:v>0.60799999999999998</c:v>
                </c:pt>
                <c:pt idx="1">
                  <c:v>0.64800000000000002</c:v>
                </c:pt>
                <c:pt idx="2">
                  <c:v>0.6835</c:v>
                </c:pt>
                <c:pt idx="3">
                  <c:v>0.72350000000000003</c:v>
                </c:pt>
              </c:numCache>
            </c:numRef>
          </c:xVal>
          <c:yVal>
            <c:numRef>
              <c:f>'2.7 grid 12.24_actualmin'!$D$22:$G$22</c:f>
              <c:numCache>
                <c:formatCode>General</c:formatCode>
                <c:ptCount val="4"/>
                <c:pt idx="0">
                  <c:v>10.495385000000001</c:v>
                </c:pt>
                <c:pt idx="1">
                  <c:v>10.66757</c:v>
                </c:pt>
                <c:pt idx="2">
                  <c:v>11.018117</c:v>
                </c:pt>
                <c:pt idx="3">
                  <c:v>12.269337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18-4B46-A1F7-A9B974726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075584"/>
        <c:axId val="70707318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nom compliant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'2.7 grid 12.24_actualmin'!$D$8:$G$8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0.60799999999999998</c:v>
                      </c:pt>
                      <c:pt idx="1">
                        <c:v>0.64800000000000002</c:v>
                      </c:pt>
                      <c:pt idx="2">
                        <c:v>0.6835</c:v>
                      </c:pt>
                      <c:pt idx="3">
                        <c:v>0.72350000000000003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'2.7 grid 12.24_actualmin'!$D$15:$G$15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10.918384</c:v>
                      </c:pt>
                      <c:pt idx="1">
                        <c:v>10.721681999999999</c:v>
                      </c:pt>
                      <c:pt idx="2">
                        <c:v>10.657762</c:v>
                      </c:pt>
                      <c:pt idx="3">
                        <c:v>11.677771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A518-4B46-A1F7-A9B974726EDC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nom stiff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'2.7 grid 12.24_actualmin'!$D$8:$G$8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0.60799999999999998</c:v>
                      </c:pt>
                      <c:pt idx="1">
                        <c:v>0.64800000000000002</c:v>
                      </c:pt>
                      <c:pt idx="2">
                        <c:v>0.6835</c:v>
                      </c:pt>
                      <c:pt idx="3">
                        <c:v>0.72350000000000003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'2.7 grid 12.24_actualmin'!$D$17:$G$17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10.394321</c:v>
                      </c:pt>
                      <c:pt idx="1">
                        <c:v>10.50614</c:v>
                      </c:pt>
                      <c:pt idx="2">
                        <c:v>10.919468</c:v>
                      </c:pt>
                      <c:pt idx="3">
                        <c:v>12.162979999999999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518-4B46-A1F7-A9B974726EDC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short compliant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'2.7 grid 12.24_actualmin'!$D$8:$G$8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0.60799999999999998</c:v>
                      </c:pt>
                      <c:pt idx="1">
                        <c:v>0.64800000000000002</c:v>
                      </c:pt>
                      <c:pt idx="2">
                        <c:v>0.6835</c:v>
                      </c:pt>
                      <c:pt idx="3">
                        <c:v>0.72350000000000003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'2.7 grid 12.24_actualmin'!$D$21:$G$21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10.759328999999999</c:v>
                      </c:pt>
                      <c:pt idx="1">
                        <c:v>10.567055999999999</c:v>
                      </c:pt>
                      <c:pt idx="2">
                        <c:v>10.573487</c:v>
                      </c:pt>
                      <c:pt idx="3">
                        <c:v>11.662921000000001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518-4B46-A1F7-A9B974726EDC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short stiff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'2.7 grid 12.24_actualmin'!$D$8:$G$8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0.60799999999999998</c:v>
                      </c:pt>
                      <c:pt idx="1">
                        <c:v>0.64800000000000002</c:v>
                      </c:pt>
                      <c:pt idx="2">
                        <c:v>0.6835</c:v>
                      </c:pt>
                      <c:pt idx="3">
                        <c:v>0.72350000000000003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'2.7 grid 12.24_actualmin'!$D$23:$G$23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10.615292</c:v>
                      </c:pt>
                      <c:pt idx="1">
                        <c:v>11.182134</c:v>
                      </c:pt>
                      <c:pt idx="2">
                        <c:v>11.561756000000001</c:v>
                      </c:pt>
                      <c:pt idx="3">
                        <c:v>13.064632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518-4B46-A1F7-A9B974726EDC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long compliant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'2.7 grid 12.24_actualmin'!$D$8:$G$8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0.60799999999999998</c:v>
                      </c:pt>
                      <c:pt idx="1">
                        <c:v>0.64800000000000002</c:v>
                      </c:pt>
                      <c:pt idx="2">
                        <c:v>0.6835</c:v>
                      </c:pt>
                      <c:pt idx="3">
                        <c:v>0.72350000000000003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'2.7 grid 12.24_actualmin'!$D$27:$G$27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11.147981</c:v>
                      </c:pt>
                      <c:pt idx="1">
                        <c:v>10.916016000000001</c:v>
                      </c:pt>
                      <c:pt idx="2">
                        <c:v>10.850552</c:v>
                      </c:pt>
                      <c:pt idx="3">
                        <c:v>10.959847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518-4B46-A1F7-A9B974726EDC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long nom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'2.7 grid 12.24_actualmin'!$D$8:$G$8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0.60799999999999998</c:v>
                      </c:pt>
                      <c:pt idx="1">
                        <c:v>0.64800000000000002</c:v>
                      </c:pt>
                      <c:pt idx="2">
                        <c:v>0.6835</c:v>
                      </c:pt>
                      <c:pt idx="3">
                        <c:v>0.72350000000000003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'2.7 grid 12.24_actualmin'!$D$28:$G$28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10.998481999999999</c:v>
                      </c:pt>
                      <c:pt idx="1">
                        <c:v>10.708437</c:v>
                      </c:pt>
                      <c:pt idx="2">
                        <c:v>10.636528</c:v>
                      </c:pt>
                      <c:pt idx="3">
                        <c:v>11.667160000000001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518-4B46-A1F7-A9B974726EDC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long stiff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'2.7 grid 12.24_actualmin'!$D$8:$G$8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0.60799999999999998</c:v>
                      </c:pt>
                      <c:pt idx="1">
                        <c:v>0.64800000000000002</c:v>
                      </c:pt>
                      <c:pt idx="2">
                        <c:v>0.6835</c:v>
                      </c:pt>
                      <c:pt idx="3">
                        <c:v>0.72350000000000003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'2.7 grid 12.24_actualmin'!$D$29:$G$29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10.790494000000001</c:v>
                      </c:pt>
                      <c:pt idx="1">
                        <c:v>10.644588000000001</c:v>
                      </c:pt>
                      <c:pt idx="2">
                        <c:v>10.548038</c:v>
                      </c:pt>
                      <c:pt idx="3">
                        <c:v>11.725153000000001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518-4B46-A1F7-A9B974726EDC}"/>
                  </c:ext>
                </c:extLst>
              </c15:ser>
            </c15:filteredScatterSeries>
          </c:ext>
        </c:extLst>
      </c:scatterChart>
      <c:valAx>
        <c:axId val="70707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73184"/>
        <c:crosses val="autoZero"/>
        <c:crossBetween val="midCat"/>
      </c:valAx>
      <c:valAx>
        <c:axId val="70707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75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Natural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 grid 12.24_actualmin'!$D$8:$G$8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 12.24_actualmin'!$D$11:$G$11</c:f>
              <c:numCache>
                <c:formatCode>General</c:formatCode>
                <c:ptCount val="4"/>
                <c:pt idx="0">
                  <c:v>15.310264999999999</c:v>
                </c:pt>
                <c:pt idx="1">
                  <c:v>15.048802</c:v>
                </c:pt>
                <c:pt idx="2">
                  <c:v>16.300446000000001</c:v>
                </c:pt>
                <c:pt idx="3">
                  <c:v>16.459140000000001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5D-4900-B8E3-C7187839572D}"/>
            </c:ext>
          </c:extLst>
        </c:ser>
        <c:ser>
          <c:idx val="1"/>
          <c:order val="1"/>
          <c:tx>
            <c:v>Nom Nom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 grid 12.24_actualmin'!$D$8:$G$8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 12.24_actualmin'!$D$16:$G$16</c:f>
              <c:numCache>
                <c:formatCode>General</c:formatCode>
                <c:ptCount val="4"/>
                <c:pt idx="0">
                  <c:v>13.699228</c:v>
                </c:pt>
                <c:pt idx="1">
                  <c:v>13.54735</c:v>
                </c:pt>
                <c:pt idx="2">
                  <c:v>14.632049</c:v>
                </c:pt>
                <c:pt idx="3">
                  <c:v>16.051697000000001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5D-4900-B8E3-C7187839572D}"/>
            </c:ext>
          </c:extLst>
        </c:ser>
        <c:ser>
          <c:idx val="5"/>
          <c:order val="5"/>
          <c:tx>
            <c:v>short nom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 grid 12.24_actualmin'!$D$8:$G$8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 12.24_actualmin'!$D$22:$G$22</c:f>
              <c:numCache>
                <c:formatCode>General</c:formatCode>
                <c:ptCount val="4"/>
                <c:pt idx="0">
                  <c:v>13.370756</c:v>
                </c:pt>
                <c:pt idx="1">
                  <c:v>13.285695</c:v>
                </c:pt>
                <c:pt idx="2">
                  <c:v>14.831022000000001</c:v>
                </c:pt>
                <c:pt idx="3">
                  <c:v>16.492588999999999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5D-4900-B8E3-C71878395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075584"/>
        <c:axId val="70707318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nom compliant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'4 grid 12.24_actualmin'!$D$8:$G$8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0.60399999999999998</c:v>
                      </c:pt>
                      <c:pt idx="1">
                        <c:v>0.64400000000000002</c:v>
                      </c:pt>
                      <c:pt idx="2">
                        <c:v>0.68400000000000005</c:v>
                      </c:pt>
                      <c:pt idx="3">
                        <c:v>0.72399999999999998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'4 grid 12.24_actualmin'!$D$15:$G$15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14.394450000000001</c:v>
                      </c:pt>
                      <c:pt idx="1">
                        <c:v>14.115467000000001</c:v>
                      </c:pt>
                      <c:pt idx="2">
                        <c:v>15.148153000000001</c:v>
                      </c:pt>
                      <c:pt idx="3">
                        <c:v>15.814506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065D-4900-B8E3-C7187839572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nom stiff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 grid 12.24_actualmin'!$D$8:$G$8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0.60399999999999998</c:v>
                      </c:pt>
                      <c:pt idx="1">
                        <c:v>0.64400000000000002</c:v>
                      </c:pt>
                      <c:pt idx="2">
                        <c:v>0.68400000000000005</c:v>
                      </c:pt>
                      <c:pt idx="3">
                        <c:v>0.72399999999999998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 grid 12.24_actualmin'!$D$17:$G$17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13.234811000000001</c:v>
                      </c:pt>
                      <c:pt idx="1">
                        <c:v>13.419562000000001</c:v>
                      </c:pt>
                      <c:pt idx="2">
                        <c:v>15.240169</c:v>
                      </c:pt>
                      <c:pt idx="3">
                        <c:v>17.092821000000001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65D-4900-B8E3-C7187839572D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short compliant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 grid 12.24_actualmin'!$D$8:$G$8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0.60399999999999998</c:v>
                      </c:pt>
                      <c:pt idx="1">
                        <c:v>0.64400000000000002</c:v>
                      </c:pt>
                      <c:pt idx="2">
                        <c:v>0.68400000000000005</c:v>
                      </c:pt>
                      <c:pt idx="3">
                        <c:v>0.72399999999999998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 grid 12.24_actualmin'!$D$21:$G$21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14.186170000000001</c:v>
                      </c:pt>
                      <c:pt idx="1">
                        <c:v>13.685762</c:v>
                      </c:pt>
                      <c:pt idx="2">
                        <c:v>14.830164999999999</c:v>
                      </c:pt>
                      <c:pt idx="3">
                        <c:v>15.592643000000001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65D-4900-B8E3-C7187839572D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short stiff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 grid 12.24_actualmin'!$D$8:$G$8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0.60399999999999998</c:v>
                      </c:pt>
                      <c:pt idx="1">
                        <c:v>0.64400000000000002</c:v>
                      </c:pt>
                      <c:pt idx="2">
                        <c:v>0.68400000000000005</c:v>
                      </c:pt>
                      <c:pt idx="3">
                        <c:v>0.72399999999999998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 grid 12.24_actualmin'!$D$23:$G$23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13.430968</c:v>
                      </c:pt>
                      <c:pt idx="1">
                        <c:v>14.365443000000001</c:v>
                      </c:pt>
                      <c:pt idx="2">
                        <c:v>16.272478</c:v>
                      </c:pt>
                      <c:pt idx="3">
                        <c:v>18.043804000000002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65D-4900-B8E3-C7187839572D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long compliant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 grid 12.24_actualmin'!$D$8:$G$8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0.60399999999999998</c:v>
                      </c:pt>
                      <c:pt idx="1">
                        <c:v>0.64400000000000002</c:v>
                      </c:pt>
                      <c:pt idx="2">
                        <c:v>0.68400000000000005</c:v>
                      </c:pt>
                      <c:pt idx="3">
                        <c:v>0.72399999999999998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 grid 12.24_actualmin'!$D$27:$G$27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14.671505</c:v>
                      </c:pt>
                      <c:pt idx="1">
                        <c:v>14.459019</c:v>
                      </c:pt>
                      <c:pt idx="2">
                        <c:v>15.455527999999999</c:v>
                      </c:pt>
                      <c:pt idx="3">
                        <c:v>15.803293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65D-4900-B8E3-C7187839572D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long nom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 grid 12.24_actualmin'!$D$8:$G$8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0.60399999999999998</c:v>
                      </c:pt>
                      <c:pt idx="1">
                        <c:v>0.64400000000000002</c:v>
                      </c:pt>
                      <c:pt idx="2">
                        <c:v>0.68400000000000005</c:v>
                      </c:pt>
                      <c:pt idx="3">
                        <c:v>0.72399999999999998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 grid 12.24_actualmin'!$D$28:$G$28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14.044463</c:v>
                      </c:pt>
                      <c:pt idx="1">
                        <c:v>13.603009999999999</c:v>
                      </c:pt>
                      <c:pt idx="2">
                        <c:v>14.88682</c:v>
                      </c:pt>
                      <c:pt idx="3">
                        <c:v>15.536303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65D-4900-B8E3-C7187839572D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long stiff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 grid 12.24_actualmin'!$D$8:$G$8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0.60399999999999998</c:v>
                      </c:pt>
                      <c:pt idx="1">
                        <c:v>0.64400000000000002</c:v>
                      </c:pt>
                      <c:pt idx="2">
                        <c:v>0.68400000000000005</c:v>
                      </c:pt>
                      <c:pt idx="3">
                        <c:v>0.72399999999999998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 grid 12.24_actualmin'!$D$29:$G$29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13.641543</c:v>
                      </c:pt>
                      <c:pt idx="1">
                        <c:v>13.290149</c:v>
                      </c:pt>
                      <c:pt idx="2">
                        <c:v>14.68605</c:v>
                      </c:pt>
                      <c:pt idx="3">
                        <c:v>15.951404999999999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65D-4900-B8E3-C7187839572D}"/>
                  </c:ext>
                </c:extLst>
              </c15:ser>
            </c15:filteredScatterSeries>
          </c:ext>
        </c:extLst>
      </c:scatterChart>
      <c:valAx>
        <c:axId val="70707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73184"/>
        <c:crosses val="autoZero"/>
        <c:crossBetween val="midCat"/>
      </c:valAx>
      <c:valAx>
        <c:axId val="707073184"/>
        <c:scaling>
          <c:orientation val="minMax"/>
          <c:min val="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75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natural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4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 grid 12.24_actualmin'!$D$8:$G$8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'4 grid 12.24_actualmin'!$D$11:$G$11</c:f>
              <c:numCache>
                <c:formatCode>General</c:formatCode>
                <c:ptCount val="4"/>
                <c:pt idx="0">
                  <c:v>15.310264999999999</c:v>
                </c:pt>
                <c:pt idx="1">
                  <c:v>15.048802</c:v>
                </c:pt>
                <c:pt idx="2">
                  <c:v>16.300446000000001</c:v>
                </c:pt>
                <c:pt idx="3">
                  <c:v>16.459140000000001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33-4649-B5A6-F24F32C29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138623"/>
        <c:axId val="1992161663"/>
      </c:scatterChart>
      <c:valAx>
        <c:axId val="1992138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161663"/>
        <c:crosses val="autoZero"/>
        <c:crossBetween val="midCat"/>
      </c:valAx>
      <c:valAx>
        <c:axId val="199216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138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466724</xdr:colOff>
      <xdr:row>14</xdr:row>
      <xdr:rowOff>119061</xdr:rowOff>
    </xdr:from>
    <xdr:to>
      <xdr:col>31</xdr:col>
      <xdr:colOff>304799</xdr:colOff>
      <xdr:row>34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DF5E42-98A5-2F85-B433-8E7DF4314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466724</xdr:colOff>
      <xdr:row>14</xdr:row>
      <xdr:rowOff>119061</xdr:rowOff>
    </xdr:from>
    <xdr:to>
      <xdr:col>31</xdr:col>
      <xdr:colOff>304799</xdr:colOff>
      <xdr:row>34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847B0D-8864-4272-8AC0-B94E6CC0C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325209</xdr:colOff>
      <xdr:row>30</xdr:row>
      <xdr:rowOff>184375</xdr:rowOff>
    </xdr:from>
    <xdr:to>
      <xdr:col>31</xdr:col>
      <xdr:colOff>163284</xdr:colOff>
      <xdr:row>52</xdr:row>
      <xdr:rowOff>61231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7D04DF-7550-4645-972E-39FDC299A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325209</xdr:colOff>
      <xdr:row>30</xdr:row>
      <xdr:rowOff>184375</xdr:rowOff>
    </xdr:from>
    <xdr:to>
      <xdr:col>31</xdr:col>
      <xdr:colOff>163284</xdr:colOff>
      <xdr:row>52</xdr:row>
      <xdr:rowOff>61231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AACDC7-82FD-4626-A29E-A36B24E3F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325209</xdr:colOff>
      <xdr:row>30</xdr:row>
      <xdr:rowOff>184375</xdr:rowOff>
    </xdr:from>
    <xdr:to>
      <xdr:col>31</xdr:col>
      <xdr:colOff>163284</xdr:colOff>
      <xdr:row>52</xdr:row>
      <xdr:rowOff>61231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FF6127-2AA6-4B80-8BDA-5445B9CB5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325209</xdr:colOff>
      <xdr:row>30</xdr:row>
      <xdr:rowOff>184375</xdr:rowOff>
    </xdr:from>
    <xdr:to>
      <xdr:col>31</xdr:col>
      <xdr:colOff>163284</xdr:colOff>
      <xdr:row>52</xdr:row>
      <xdr:rowOff>61231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52E558-6D63-4433-844A-7A22DA941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325209</xdr:colOff>
      <xdr:row>30</xdr:row>
      <xdr:rowOff>184375</xdr:rowOff>
    </xdr:from>
    <xdr:to>
      <xdr:col>33</xdr:col>
      <xdr:colOff>163284</xdr:colOff>
      <xdr:row>52</xdr:row>
      <xdr:rowOff>61231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EFF4E5-B13F-4A6A-B974-930944EE8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325209</xdr:colOff>
      <xdr:row>30</xdr:row>
      <xdr:rowOff>184375</xdr:rowOff>
    </xdr:from>
    <xdr:to>
      <xdr:col>31</xdr:col>
      <xdr:colOff>163284</xdr:colOff>
      <xdr:row>52</xdr:row>
      <xdr:rowOff>61231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27363E-180F-4930-B177-E18C1B861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325209</xdr:colOff>
      <xdr:row>30</xdr:row>
      <xdr:rowOff>184375</xdr:rowOff>
    </xdr:from>
    <xdr:to>
      <xdr:col>34</xdr:col>
      <xdr:colOff>163284</xdr:colOff>
      <xdr:row>52</xdr:row>
      <xdr:rowOff>61231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A23E63-8872-4917-913D-72C3226E8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258536</xdr:colOff>
      <xdr:row>46</xdr:row>
      <xdr:rowOff>186417</xdr:rowOff>
    </xdr:from>
    <xdr:to>
      <xdr:col>21</xdr:col>
      <xdr:colOff>408215</xdr:colOff>
      <xdr:row>61</xdr:row>
      <xdr:rowOff>72117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6D1D28-65D1-9078-1190-9F4D79BE8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zoomScaleNormal="100" workbookViewId="0">
      <selection activeCell="N15" sqref="N15"/>
    </sheetView>
  </sheetViews>
  <sheetFormatPr defaultColWidth="8.5703125" defaultRowHeight="15" x14ac:dyDescent="0.25"/>
  <cols>
    <col min="1" max="1" width="18.5703125" customWidth="1"/>
    <col min="2" max="2" width="24.140625" customWidth="1"/>
    <col min="3" max="3" width="18.28515625" customWidth="1"/>
    <col min="4" max="4" width="17.7109375" customWidth="1"/>
    <col min="6" max="6" width="18.5703125" customWidth="1"/>
    <col min="7" max="7" width="24.140625" customWidth="1"/>
    <col min="8" max="8" width="18.28515625" customWidth="1"/>
    <col min="9" max="9" width="17.7109375" customWidth="1"/>
  </cols>
  <sheetData>
    <row r="1" spans="1:9" x14ac:dyDescent="0.25">
      <c r="A1" t="s">
        <v>0</v>
      </c>
      <c r="F1" t="s">
        <v>1</v>
      </c>
    </row>
    <row r="2" spans="1:9" x14ac:dyDescent="0.25">
      <c r="A2" s="1" t="s">
        <v>2</v>
      </c>
      <c r="B2" s="1" t="s">
        <v>3</v>
      </c>
      <c r="C2" s="1" t="s">
        <v>4</v>
      </c>
      <c r="D2" s="1" t="s">
        <v>5</v>
      </c>
      <c r="F2" s="1" t="s">
        <v>2</v>
      </c>
      <c r="G2" s="1" t="s">
        <v>3</v>
      </c>
      <c r="H2" s="1" t="s">
        <v>4</v>
      </c>
      <c r="I2" s="1" t="s">
        <v>5</v>
      </c>
    </row>
    <row r="3" spans="1:9" x14ac:dyDescent="0.25">
      <c r="A3">
        <v>0.72350000000000003</v>
      </c>
      <c r="B3">
        <v>9.8775200000000005</v>
      </c>
      <c r="C3">
        <v>354.19835618000002</v>
      </c>
      <c r="D3">
        <v>0.45984949000000003</v>
      </c>
      <c r="F3">
        <v>0.72350000000000003</v>
      </c>
    </row>
    <row r="4" spans="1:9" x14ac:dyDescent="0.25">
      <c r="A4">
        <v>0.72350000000000003</v>
      </c>
      <c r="B4">
        <v>9.852252</v>
      </c>
      <c r="C4">
        <v>341.72659346</v>
      </c>
      <c r="D4">
        <v>0.45966289999999999</v>
      </c>
      <c r="F4">
        <v>0.72350000000000003</v>
      </c>
    </row>
    <row r="5" spans="1:9" x14ac:dyDescent="0.25">
      <c r="A5" s="1">
        <v>0.6835</v>
      </c>
      <c r="B5" s="1">
        <v>9.3081890000000005</v>
      </c>
      <c r="C5" s="1">
        <v>409.90579366999998</v>
      </c>
      <c r="D5" s="1">
        <v>0.43152206999999998</v>
      </c>
      <c r="E5" s="1"/>
      <c r="F5" s="1">
        <v>0.6835</v>
      </c>
      <c r="G5" s="1">
        <v>9.3128209999999996</v>
      </c>
      <c r="H5" s="1">
        <v>120</v>
      </c>
      <c r="I5" s="1">
        <v>0.28689999999999999</v>
      </c>
    </row>
    <row r="6" spans="1:9" x14ac:dyDescent="0.25">
      <c r="A6" s="1">
        <v>0.64800000000000002</v>
      </c>
      <c r="B6" s="1">
        <v>9.1206650000000007</v>
      </c>
      <c r="C6" s="1">
        <v>504.73035449999998</v>
      </c>
      <c r="D6" s="1">
        <v>0.42428103</v>
      </c>
      <c r="E6" s="1"/>
      <c r="F6" s="1">
        <v>0.64800000000000002</v>
      </c>
      <c r="G6" s="1">
        <v>9.0719189999999994</v>
      </c>
      <c r="H6" s="1">
        <v>120</v>
      </c>
      <c r="I6" s="1">
        <v>0.28689999999999999</v>
      </c>
    </row>
    <row r="7" spans="1:9" x14ac:dyDescent="0.25">
      <c r="A7">
        <v>0.60799999999999998</v>
      </c>
      <c r="B7">
        <v>9.2860390000000006</v>
      </c>
      <c r="C7">
        <v>494.47500408000002</v>
      </c>
      <c r="D7">
        <v>0.37576899000000002</v>
      </c>
      <c r="F7">
        <v>0.60799999999999998</v>
      </c>
    </row>
    <row r="8" spans="1:9" x14ac:dyDescent="0.25">
      <c r="A8">
        <v>0.56799999999999995</v>
      </c>
      <c r="B8">
        <v>10.000717</v>
      </c>
      <c r="C8">
        <v>444.26892278000003</v>
      </c>
      <c r="D8">
        <v>0.33724367999999999</v>
      </c>
      <c r="F8">
        <v>0.56799999999999995</v>
      </c>
    </row>
    <row r="11" spans="1:9" x14ac:dyDescent="0.25">
      <c r="A11" t="s">
        <v>6</v>
      </c>
      <c r="F11" t="s">
        <v>6</v>
      </c>
    </row>
    <row r="12" spans="1:9" x14ac:dyDescent="0.25">
      <c r="A12" s="1">
        <v>0.6835</v>
      </c>
      <c r="B12">
        <v>8.9600729999999995</v>
      </c>
      <c r="C12">
        <v>396.79178389999998</v>
      </c>
      <c r="D12">
        <v>0.4340601</v>
      </c>
      <c r="F12" s="1">
        <v>0.6835</v>
      </c>
      <c r="G12">
        <v>8.9171849999999999</v>
      </c>
      <c r="H12" s="1">
        <v>120</v>
      </c>
      <c r="I12" s="1">
        <v>0.28689999999999999</v>
      </c>
    </row>
    <row r="13" spans="1:9" x14ac:dyDescent="0.25">
      <c r="A13" s="1">
        <v>0.64800000000000002</v>
      </c>
      <c r="B13">
        <v>8.7763679999999997</v>
      </c>
      <c r="C13">
        <v>478.22449517000001</v>
      </c>
      <c r="D13">
        <v>0.42627332000000001</v>
      </c>
      <c r="F13" s="1">
        <v>0.64800000000000002</v>
      </c>
      <c r="G13">
        <v>8.7302619999999997</v>
      </c>
      <c r="H13" s="1">
        <v>120</v>
      </c>
      <c r="I13" s="1">
        <v>0.28689999999999999</v>
      </c>
    </row>
    <row r="16" spans="1:9" x14ac:dyDescent="0.25">
      <c r="F16" s="1">
        <v>0.6835</v>
      </c>
      <c r="G16">
        <v>8.9180580000000003</v>
      </c>
      <c r="H16" s="1">
        <v>120</v>
      </c>
      <c r="I16" s="1">
        <v>0.28689999999999999</v>
      </c>
    </row>
    <row r="17" spans="1:9" x14ac:dyDescent="0.25">
      <c r="A17" s="1">
        <v>0.64800000000000002</v>
      </c>
      <c r="B17">
        <v>8.7772740000000002</v>
      </c>
      <c r="C17">
        <v>482.83657837999999</v>
      </c>
      <c r="D17">
        <v>0.42774646</v>
      </c>
      <c r="F17" s="1">
        <v>0.64800000000000002</v>
      </c>
      <c r="G17">
        <v>8.7274639999999994</v>
      </c>
      <c r="H17" s="1">
        <v>120</v>
      </c>
      <c r="I17" s="1">
        <v>0.28689999999999999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Z28"/>
  <sheetViews>
    <sheetView topLeftCell="K7" zoomScaleNormal="100" workbookViewId="0">
      <selection activeCell="V9" sqref="V9:Z13"/>
    </sheetView>
  </sheetViews>
  <sheetFormatPr defaultColWidth="8.5703125" defaultRowHeight="15" x14ac:dyDescent="0.25"/>
  <cols>
    <col min="2" max="2" width="9.7109375" customWidth="1"/>
    <col min="8" max="8" width="10.5703125" style="2" bestFit="1" customWidth="1"/>
    <col min="9" max="9" width="14.42578125" customWidth="1"/>
    <col min="10" max="10" width="10" bestFit="1" customWidth="1"/>
    <col min="16" max="16" width="8.85546875" style="2" customWidth="1"/>
    <col min="17" max="18" width="11.5703125" customWidth="1"/>
    <col min="20" max="20" width="8.85546875" style="2" customWidth="1"/>
    <col min="22" max="22" width="18.28515625" customWidth="1"/>
  </cols>
  <sheetData>
    <row r="7" spans="1:26" x14ac:dyDescent="0.25">
      <c r="B7" t="s">
        <v>7</v>
      </c>
      <c r="I7" t="s">
        <v>8</v>
      </c>
      <c r="Q7" t="s">
        <v>24</v>
      </c>
      <c r="U7" t="s">
        <v>9</v>
      </c>
    </row>
    <row r="8" spans="1:26" x14ac:dyDescent="0.25">
      <c r="B8" s="1" t="s">
        <v>10</v>
      </c>
      <c r="D8">
        <v>0.60799999999999998</v>
      </c>
      <c r="E8">
        <v>0.64800000000000002</v>
      </c>
      <c r="F8">
        <v>0.6835</v>
      </c>
      <c r="G8">
        <v>0.72350000000000003</v>
      </c>
      <c r="I8" s="1" t="s">
        <v>10</v>
      </c>
      <c r="J8" s="1"/>
      <c r="L8">
        <v>0.60799999999999998</v>
      </c>
      <c r="M8">
        <v>0.64800000000000002</v>
      </c>
      <c r="N8">
        <v>0.6835</v>
      </c>
      <c r="O8">
        <v>0.72350000000000003</v>
      </c>
    </row>
    <row r="9" spans="1:26" x14ac:dyDescent="0.25">
      <c r="V9" s="3"/>
      <c r="W9" s="4"/>
      <c r="X9" s="50" t="s">
        <v>11</v>
      </c>
      <c r="Y9" s="50"/>
      <c r="Z9" s="50"/>
    </row>
    <row r="10" spans="1:26" x14ac:dyDescent="0.25">
      <c r="H10" s="2" t="s">
        <v>25</v>
      </c>
      <c r="V10" s="5"/>
      <c r="W10" s="6"/>
      <c r="X10" s="7" t="s">
        <v>12</v>
      </c>
      <c r="Y10" s="8" t="s">
        <v>13</v>
      </c>
      <c r="Z10" s="9" t="s">
        <v>14</v>
      </c>
    </row>
    <row r="11" spans="1:26" ht="15" customHeight="1" x14ac:dyDescent="0.25">
      <c r="B11" s="13" t="s">
        <v>15</v>
      </c>
      <c r="D11">
        <v>11.35727</v>
      </c>
      <c r="E11">
        <v>10.635120000000001</v>
      </c>
      <c r="F11">
        <v>10.62359</v>
      </c>
      <c r="G11">
        <v>11.35107</v>
      </c>
      <c r="H11" s="2">
        <f>MIN(D11:G11)</f>
        <v>10.62359</v>
      </c>
      <c r="J11" s="13" t="s">
        <v>15</v>
      </c>
      <c r="R11" s="13" t="s">
        <v>15</v>
      </c>
      <c r="V11" s="51" t="s">
        <v>16</v>
      </c>
      <c r="W11" s="14">
        <v>60</v>
      </c>
      <c r="X11" s="3">
        <v>-0.69129173848011571</v>
      </c>
      <c r="Y11" s="4">
        <v>0.99081383976602511</v>
      </c>
      <c r="Z11" s="10">
        <v>2.0490248588283211</v>
      </c>
    </row>
    <row r="12" spans="1:26" ht="15" customHeight="1" x14ac:dyDescent="0.25">
      <c r="B12" s="13"/>
      <c r="J12" s="13"/>
      <c r="R12" s="13"/>
      <c r="V12" s="52"/>
      <c r="W12" s="16">
        <v>120</v>
      </c>
      <c r="X12" s="5">
        <v>-2.6598353287353875</v>
      </c>
      <c r="Y12" s="6">
        <v>-3.6208099145392492</v>
      </c>
      <c r="Z12" s="11">
        <v>0.97274085313909264</v>
      </c>
    </row>
    <row r="13" spans="1:26" x14ac:dyDescent="0.25">
      <c r="A13" s="12" t="s">
        <v>19</v>
      </c>
      <c r="B13" s="12" t="s">
        <v>18</v>
      </c>
      <c r="I13" s="12" t="s">
        <v>19</v>
      </c>
      <c r="J13" s="12" t="s">
        <v>18</v>
      </c>
      <c r="Q13" s="12" t="s">
        <v>19</v>
      </c>
      <c r="R13" s="12" t="s">
        <v>18</v>
      </c>
      <c r="V13" s="53"/>
      <c r="W13" s="15">
        <v>180</v>
      </c>
      <c r="X13" s="7">
        <v>-2.025586454296521</v>
      </c>
      <c r="Y13" s="8">
        <v>-3.5391990843020089</v>
      </c>
      <c r="Z13" s="9">
        <v>-0.24850356612031005</v>
      </c>
    </row>
    <row r="14" spans="1:26" x14ac:dyDescent="0.25">
      <c r="A14" t="s">
        <v>23</v>
      </c>
      <c r="B14" s="13" t="s">
        <v>17</v>
      </c>
      <c r="D14">
        <v>12.022040000000001</v>
      </c>
      <c r="E14">
        <v>11.05707</v>
      </c>
      <c r="F14">
        <v>10.744339999999999</v>
      </c>
      <c r="G14">
        <v>10.72885</v>
      </c>
      <c r="H14" s="2">
        <f t="shared" ref="H14:H24" si="0">MIN(D14:G14)</f>
        <v>10.72885</v>
      </c>
      <c r="I14" t="s">
        <v>23</v>
      </c>
      <c r="J14" s="13" t="s">
        <v>17</v>
      </c>
      <c r="L14">
        <f>(D14-D$11)/D$11*100</f>
        <v>5.8532552277087788</v>
      </c>
      <c r="M14">
        <f t="shared" ref="M14:M16" si="1">(E14-E$11)/E$11*100</f>
        <v>3.9675151761334044</v>
      </c>
      <c r="N14">
        <f t="shared" ref="N14:N16" si="2">(F14-F$11)/F$11*100</f>
        <v>1.1366214245843378</v>
      </c>
      <c r="O14">
        <f t="shared" ref="O14:O16" si="3">(G14-G$11)/G$11*100</f>
        <v>-5.4815977700780669</v>
      </c>
      <c r="Q14" t="s">
        <v>23</v>
      </c>
      <c r="R14" s="13" t="s">
        <v>17</v>
      </c>
      <c r="S14">
        <f>(H14-H$11)/H$11*100</f>
        <v>0.99081383976602511</v>
      </c>
    </row>
    <row r="15" spans="1:26" x14ac:dyDescent="0.25">
      <c r="A15" t="s">
        <v>23</v>
      </c>
      <c r="B15" s="13" t="s">
        <v>23</v>
      </c>
      <c r="D15">
        <v>11.013629999999999</v>
      </c>
      <c r="E15">
        <v>10.24297</v>
      </c>
      <c r="F15">
        <v>10.23893</v>
      </c>
      <c r="G15">
        <v>10.81166</v>
      </c>
      <c r="H15" s="2">
        <f t="shared" si="0"/>
        <v>10.23893</v>
      </c>
      <c r="I15" t="s">
        <v>23</v>
      </c>
      <c r="J15" s="13" t="s">
        <v>23</v>
      </c>
      <c r="L15">
        <f>(D15-D$11)/D$11*100</f>
        <v>-3.025727133369204</v>
      </c>
      <c r="M15">
        <f t="shared" si="1"/>
        <v>-3.6873114736834265</v>
      </c>
      <c r="N15">
        <f t="shared" si="2"/>
        <v>-3.6208099145392492</v>
      </c>
      <c r="O15">
        <f t="shared" si="3"/>
        <v>-4.7520630213715549</v>
      </c>
      <c r="Q15" t="s">
        <v>23</v>
      </c>
      <c r="R15" s="13" t="s">
        <v>23</v>
      </c>
      <c r="S15">
        <f t="shared" ref="S15:S24" si="4">(H15-H$11)/H$11*100</f>
        <v>-3.6208099145392492</v>
      </c>
    </row>
    <row r="16" spans="1:26" x14ac:dyDescent="0.25">
      <c r="A16" t="s">
        <v>23</v>
      </c>
      <c r="B16" s="13" t="s">
        <v>18</v>
      </c>
      <c r="D16">
        <v>11.464359999999999</v>
      </c>
      <c r="E16">
        <v>10.72302</v>
      </c>
      <c r="F16">
        <v>10.2476</v>
      </c>
      <c r="G16">
        <v>10.40551</v>
      </c>
      <c r="H16" s="2">
        <f t="shared" si="0"/>
        <v>10.2476</v>
      </c>
      <c r="I16" t="s">
        <v>23</v>
      </c>
      <c r="J16" s="13" t="s">
        <v>18</v>
      </c>
      <c r="L16">
        <f>(D16-D$11)/D$11*100</f>
        <v>0.94292026164738052</v>
      </c>
      <c r="M16">
        <f t="shared" si="1"/>
        <v>0.82650689413941192</v>
      </c>
      <c r="N16">
        <f t="shared" si="2"/>
        <v>-3.5391990843020089</v>
      </c>
      <c r="O16">
        <f t="shared" si="3"/>
        <v>-8.3301398017984241</v>
      </c>
      <c r="Q16" t="s">
        <v>23</v>
      </c>
      <c r="R16" s="13" t="s">
        <v>18</v>
      </c>
      <c r="S16">
        <f t="shared" si="4"/>
        <v>-3.5391990843020089</v>
      </c>
    </row>
    <row r="17" spans="1:19" x14ac:dyDescent="0.25">
      <c r="B17" s="13"/>
      <c r="J17" s="13"/>
      <c r="R17" s="13"/>
    </row>
    <row r="18" spans="1:19" x14ac:dyDescent="0.25">
      <c r="A18" t="s">
        <v>20</v>
      </c>
      <c r="B18" s="13" t="s">
        <v>17</v>
      </c>
      <c r="D18">
        <v>11.7456</v>
      </c>
      <c r="E18">
        <v>11.022819999999999</v>
      </c>
      <c r="F18">
        <v>10.70454</v>
      </c>
      <c r="G18">
        <v>10.55015</v>
      </c>
      <c r="H18" s="2">
        <f t="shared" si="0"/>
        <v>10.55015</v>
      </c>
      <c r="I18" t="s">
        <v>20</v>
      </c>
      <c r="J18" s="13" t="s">
        <v>17</v>
      </c>
      <c r="L18">
        <f>(D18-D$11)/D$11*100</f>
        <v>3.4192195835795034</v>
      </c>
      <c r="M18">
        <f t="shared" ref="M18:M20" si="5">(E18-E$11)/E$11*100</f>
        <v>3.645468974492049</v>
      </c>
      <c r="N18">
        <f t="shared" ref="N18:N20" si="6">(F18-F$11)/F$11*100</f>
        <v>0.76198347263024679</v>
      </c>
      <c r="O18">
        <f t="shared" ref="O18:O20" si="7">(G18-G$11)/G$11*100</f>
        <v>-7.0558986950128899</v>
      </c>
      <c r="Q18" t="s">
        <v>20</v>
      </c>
      <c r="R18" s="13" t="s">
        <v>17</v>
      </c>
      <c r="S18">
        <f t="shared" si="4"/>
        <v>-0.69129173848011571</v>
      </c>
    </row>
    <row r="19" spans="1:19" x14ac:dyDescent="0.25">
      <c r="A19" t="s">
        <v>21</v>
      </c>
      <c r="B19" s="13" t="s">
        <v>23</v>
      </c>
      <c r="D19">
        <v>11.500450000000001</v>
      </c>
      <c r="E19">
        <v>10.820320000000001</v>
      </c>
      <c r="F19">
        <v>10.34102</v>
      </c>
      <c r="G19">
        <v>10.37026</v>
      </c>
      <c r="H19" s="2">
        <f t="shared" si="0"/>
        <v>10.34102</v>
      </c>
      <c r="I19" t="s">
        <v>21</v>
      </c>
      <c r="J19" s="13" t="s">
        <v>23</v>
      </c>
      <c r="L19">
        <f>(D19-D$11)/D$11*100</f>
        <v>1.2606902891275895</v>
      </c>
      <c r="M19">
        <f t="shared" si="5"/>
        <v>1.7414001910650752</v>
      </c>
      <c r="N19">
        <f t="shared" si="6"/>
        <v>-2.6598353287353875</v>
      </c>
      <c r="O19">
        <f t="shared" si="7"/>
        <v>-8.6406832131244009</v>
      </c>
      <c r="Q19" t="s">
        <v>21</v>
      </c>
      <c r="R19" s="13" t="s">
        <v>23</v>
      </c>
      <c r="S19">
        <f t="shared" si="4"/>
        <v>-2.6598353287353875</v>
      </c>
    </row>
    <row r="20" spans="1:19" x14ac:dyDescent="0.25">
      <c r="A20" t="s">
        <v>20</v>
      </c>
      <c r="B20" s="13" t="s">
        <v>18</v>
      </c>
      <c r="D20">
        <v>11.50211</v>
      </c>
      <c r="E20">
        <v>10.671989999999999</v>
      </c>
      <c r="F20">
        <v>10.4084</v>
      </c>
      <c r="G20">
        <v>10.708729999999999</v>
      </c>
      <c r="H20" s="2">
        <f t="shared" si="0"/>
        <v>10.4084</v>
      </c>
      <c r="I20" t="s">
        <v>20</v>
      </c>
      <c r="J20" s="13" t="s">
        <v>18</v>
      </c>
      <c r="L20">
        <f>(D20-D$11)/D$11*100</f>
        <v>1.2753064777010699</v>
      </c>
      <c r="M20">
        <f t="shared" si="5"/>
        <v>0.34668156071580414</v>
      </c>
      <c r="N20">
        <f t="shared" si="6"/>
        <v>-2.025586454296521</v>
      </c>
      <c r="O20">
        <f t="shared" si="7"/>
        <v>-5.6588497824434247</v>
      </c>
      <c r="Q20" t="s">
        <v>20</v>
      </c>
      <c r="R20" s="13" t="s">
        <v>18</v>
      </c>
      <c r="S20">
        <f t="shared" si="4"/>
        <v>-2.025586454296521</v>
      </c>
    </row>
    <row r="22" spans="1:19" x14ac:dyDescent="0.25">
      <c r="A22" t="s">
        <v>22</v>
      </c>
      <c r="B22" s="13" t="s">
        <v>17</v>
      </c>
      <c r="D22">
        <v>11.908469999999999</v>
      </c>
      <c r="E22">
        <v>11.31396</v>
      </c>
      <c r="F22">
        <v>10.84127</v>
      </c>
      <c r="G22">
        <v>10.910769999999999</v>
      </c>
      <c r="H22" s="2">
        <f t="shared" si="0"/>
        <v>10.84127</v>
      </c>
      <c r="I22" t="s">
        <v>22</v>
      </c>
      <c r="J22" s="13" t="s">
        <v>17</v>
      </c>
      <c r="L22">
        <f>(D22-D$11)/D$11*100</f>
        <v>4.8532790010275324</v>
      </c>
      <c r="M22">
        <f t="shared" ref="M22:M24" si="8">(E22-E$11)/E$11*100</f>
        <v>6.3830027305756696</v>
      </c>
      <c r="N22">
        <f t="shared" ref="N22:N24" si="9">(F22-F$11)/F$11*100</f>
        <v>2.0490248588283211</v>
      </c>
      <c r="O22">
        <f t="shared" ref="O22:O24" si="10">(G22-G$11)/G$11*100</f>
        <v>-3.878929475371049</v>
      </c>
      <c r="Q22" t="s">
        <v>22</v>
      </c>
      <c r="R22" s="13" t="s">
        <v>17</v>
      </c>
      <c r="S22">
        <f t="shared" si="4"/>
        <v>2.0490248588283211</v>
      </c>
    </row>
    <row r="23" spans="1:19" x14ac:dyDescent="0.25">
      <c r="A23" t="s">
        <v>22</v>
      </c>
      <c r="B23" s="13" t="s">
        <v>23</v>
      </c>
      <c r="D23">
        <v>12.024419999999999</v>
      </c>
      <c r="E23">
        <v>11.123390000000001</v>
      </c>
      <c r="F23">
        <v>10.726929999999999</v>
      </c>
      <c r="G23">
        <v>10.75698</v>
      </c>
      <c r="H23" s="2">
        <f t="shared" si="0"/>
        <v>10.726929999999999</v>
      </c>
      <c r="I23" t="s">
        <v>22</v>
      </c>
      <c r="J23" s="13" t="s">
        <v>23</v>
      </c>
      <c r="L23">
        <f>(D23-D$11)/D$11*100</f>
        <v>5.8742109679526813</v>
      </c>
      <c r="M23">
        <f t="shared" si="8"/>
        <v>4.5911094562167607</v>
      </c>
      <c r="N23">
        <f t="shared" si="9"/>
        <v>0.97274085313909264</v>
      </c>
      <c r="O23">
        <f t="shared" si="10"/>
        <v>-5.2337797229688441</v>
      </c>
      <c r="Q23" t="s">
        <v>22</v>
      </c>
      <c r="R23" s="13" t="s">
        <v>23</v>
      </c>
      <c r="S23">
        <f t="shared" si="4"/>
        <v>0.97274085313909264</v>
      </c>
    </row>
    <row r="24" spans="1:19" x14ac:dyDescent="0.25">
      <c r="A24" t="s">
        <v>22</v>
      </c>
      <c r="B24" s="13" t="s">
        <v>18</v>
      </c>
      <c r="D24">
        <v>11.78364</v>
      </c>
      <c r="E24">
        <v>10.957420000000001</v>
      </c>
      <c r="F24">
        <v>10.62823</v>
      </c>
      <c r="G24">
        <v>10.597189999999999</v>
      </c>
      <c r="H24" s="2">
        <f t="shared" si="0"/>
        <v>10.597189999999999</v>
      </c>
      <c r="I24" t="s">
        <v>22</v>
      </c>
      <c r="J24" s="13" t="s">
        <v>18</v>
      </c>
      <c r="L24">
        <f>(D24-D$11)/D$11*100</f>
        <v>3.7541592301671116</v>
      </c>
      <c r="M24">
        <f t="shared" si="8"/>
        <v>3.0305252785111989</v>
      </c>
      <c r="N24">
        <f t="shared" si="9"/>
        <v>4.3676384348418938E-2</v>
      </c>
      <c r="O24">
        <f t="shared" si="10"/>
        <v>-6.6414884235583127</v>
      </c>
      <c r="Q24" t="s">
        <v>22</v>
      </c>
      <c r="R24" s="13" t="s">
        <v>18</v>
      </c>
      <c r="S24">
        <f t="shared" si="4"/>
        <v>-0.24850356612031005</v>
      </c>
    </row>
    <row r="25" spans="1:19" x14ac:dyDescent="0.25">
      <c r="Q25" s="1"/>
      <c r="R25" s="1"/>
    </row>
    <row r="26" spans="1:19" x14ac:dyDescent="0.25">
      <c r="Q26" s="1"/>
      <c r="R26" s="1"/>
    </row>
    <row r="27" spans="1:19" x14ac:dyDescent="0.25">
      <c r="Q27" s="1"/>
      <c r="R27" s="1"/>
    </row>
    <row r="28" spans="1:19" x14ac:dyDescent="0.25">
      <c r="Q28" s="1"/>
      <c r="R28" s="1"/>
    </row>
  </sheetData>
  <mergeCells count="2">
    <mergeCell ref="X9:Z9"/>
    <mergeCell ref="V11:V13"/>
  </mergeCells>
  <conditionalFormatting sqref="X11:Z1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9822C-1E30-4224-9E78-A608CC1C98A6}">
  <dimension ref="A7:Z28"/>
  <sheetViews>
    <sheetView zoomScale="70" zoomScaleNormal="70" workbookViewId="0">
      <selection activeCell="V9" sqref="V9:Z13"/>
    </sheetView>
  </sheetViews>
  <sheetFormatPr defaultColWidth="8.5703125" defaultRowHeight="15" x14ac:dyDescent="0.25"/>
  <cols>
    <col min="2" max="2" width="9.7109375" customWidth="1"/>
    <col min="8" max="8" width="10.5703125" style="2" bestFit="1" customWidth="1"/>
    <col min="9" max="9" width="14.42578125" customWidth="1"/>
    <col min="10" max="10" width="10" bestFit="1" customWidth="1"/>
    <col min="16" max="16" width="8.85546875" style="2" customWidth="1"/>
    <col min="17" max="18" width="11.5703125" customWidth="1"/>
    <col min="20" max="20" width="8.85546875" style="2" customWidth="1"/>
    <col min="22" max="22" width="18.28515625" customWidth="1"/>
  </cols>
  <sheetData>
    <row r="7" spans="1:26" x14ac:dyDescent="0.25">
      <c r="B7" t="s">
        <v>7</v>
      </c>
      <c r="I7" t="s">
        <v>8</v>
      </c>
      <c r="Q7" t="s">
        <v>24</v>
      </c>
      <c r="U7" t="s">
        <v>9</v>
      </c>
    </row>
    <row r="8" spans="1:26" x14ac:dyDescent="0.25">
      <c r="B8" s="1" t="s">
        <v>10</v>
      </c>
      <c r="D8" s="17">
        <v>0.60399999999999998</v>
      </c>
      <c r="E8" s="17">
        <v>0.64400000000000002</v>
      </c>
      <c r="F8" s="17">
        <v>0.68400000000000005</v>
      </c>
      <c r="G8" s="17">
        <v>0.72399999999999998</v>
      </c>
      <c r="I8" s="1" t="s">
        <v>10</v>
      </c>
      <c r="J8" s="1"/>
      <c r="L8">
        <v>0.60799999999999998</v>
      </c>
      <c r="M8">
        <v>0.64800000000000002</v>
      </c>
      <c r="N8">
        <v>0.6835</v>
      </c>
      <c r="O8">
        <v>0.72350000000000003</v>
      </c>
    </row>
    <row r="9" spans="1:26" x14ac:dyDescent="0.25">
      <c r="V9" s="3"/>
      <c r="W9" s="4"/>
      <c r="X9" s="50" t="s">
        <v>11</v>
      </c>
      <c r="Y9" s="50"/>
      <c r="Z9" s="50"/>
    </row>
    <row r="10" spans="1:26" x14ac:dyDescent="0.25">
      <c r="H10" s="2" t="s">
        <v>25</v>
      </c>
      <c r="V10" s="5"/>
      <c r="W10" s="6"/>
      <c r="X10" s="7" t="s">
        <v>12</v>
      </c>
      <c r="Y10" s="8" t="s">
        <v>13</v>
      </c>
      <c r="Z10" s="9" t="s">
        <v>14</v>
      </c>
    </row>
    <row r="11" spans="1:26" ht="15" customHeight="1" x14ac:dyDescent="0.25">
      <c r="B11" s="13" t="s">
        <v>15</v>
      </c>
      <c r="D11" s="17">
        <v>15.18577</v>
      </c>
      <c r="E11" s="17">
        <v>15.18749</v>
      </c>
      <c r="F11" s="17">
        <v>15.21813</v>
      </c>
      <c r="G11" s="17">
        <v>15.38369</v>
      </c>
      <c r="H11" s="2">
        <f>MIN(D11:G11)</f>
        <v>15.18577</v>
      </c>
      <c r="J11" s="13" t="s">
        <v>15</v>
      </c>
      <c r="R11" s="13" t="s">
        <v>15</v>
      </c>
      <c r="V11" s="51" t="s">
        <v>16</v>
      </c>
      <c r="W11" s="14">
        <v>60</v>
      </c>
      <c r="X11" s="3">
        <v>20.328030781448689</v>
      </c>
      <c r="Y11" s="4">
        <v>7.2871510631334582</v>
      </c>
      <c r="Z11" s="10">
        <v>9.1468065168904857</v>
      </c>
    </row>
    <row r="12" spans="1:26" ht="15" customHeight="1" x14ac:dyDescent="0.25">
      <c r="B12" s="13"/>
      <c r="J12" s="13"/>
      <c r="R12" s="13"/>
      <c r="V12" s="52"/>
      <c r="W12" s="16">
        <v>120</v>
      </c>
      <c r="X12" s="5">
        <v>7.5591161989151781</v>
      </c>
      <c r="Y12" s="6">
        <v>-12.934675028003195</v>
      </c>
      <c r="Z12" s="11">
        <v>6.4639461811946211</v>
      </c>
    </row>
    <row r="13" spans="1:26" x14ac:dyDescent="0.25">
      <c r="A13" s="12" t="s">
        <v>19</v>
      </c>
      <c r="B13" s="12" t="s">
        <v>18</v>
      </c>
      <c r="I13" s="12" t="s">
        <v>19</v>
      </c>
      <c r="J13" s="12" t="s">
        <v>18</v>
      </c>
      <c r="Q13" s="12" t="s">
        <v>19</v>
      </c>
      <c r="R13" s="12" t="s">
        <v>18</v>
      </c>
      <c r="V13" s="53"/>
      <c r="W13" s="15">
        <v>180</v>
      </c>
      <c r="X13" s="7">
        <v>7.7052069141044646</v>
      </c>
      <c r="Y13" s="8">
        <v>2.9719270079818108</v>
      </c>
      <c r="Z13" s="9">
        <v>14.357342433080452</v>
      </c>
    </row>
    <row r="14" spans="1:26" x14ac:dyDescent="0.25">
      <c r="A14" t="s">
        <v>23</v>
      </c>
      <c r="B14" s="13" t="s">
        <v>17</v>
      </c>
      <c r="D14" s="17"/>
      <c r="E14" s="17">
        <v>18.291679999999999</v>
      </c>
      <c r="F14" s="17">
        <v>16.703959999999999</v>
      </c>
      <c r="G14" s="17">
        <v>16.292380000000001</v>
      </c>
      <c r="H14" s="2">
        <f t="shared" ref="H14:H24" si="0">MIN(D14:G14)</f>
        <v>16.292380000000001</v>
      </c>
      <c r="I14" t="s">
        <v>23</v>
      </c>
      <c r="J14" s="13" t="s">
        <v>17</v>
      </c>
      <c r="L14">
        <f>(D14-D$11)/D$11*100</f>
        <v>-100</v>
      </c>
      <c r="M14">
        <f t="shared" ref="M14:O16" si="1">(E14-E$11)/E$11*100</f>
        <v>20.439124568970904</v>
      </c>
      <c r="N14">
        <f t="shared" si="1"/>
        <v>9.7635517635872358</v>
      </c>
      <c r="O14">
        <f t="shared" si="1"/>
        <v>5.9068402964438427</v>
      </c>
      <c r="Q14" t="s">
        <v>23</v>
      </c>
      <c r="R14" s="13" t="s">
        <v>17</v>
      </c>
      <c r="S14">
        <f>(H14-H$11)/H$11*100</f>
        <v>7.2871510631334582</v>
      </c>
    </row>
    <row r="15" spans="1:26" x14ac:dyDescent="0.25">
      <c r="A15" t="s">
        <v>23</v>
      </c>
      <c r="B15" s="13" t="s">
        <v>23</v>
      </c>
      <c r="D15" s="17">
        <v>13.221539999999999</v>
      </c>
      <c r="E15" s="17">
        <v>13.25094</v>
      </c>
      <c r="F15" s="17">
        <v>13.976470000000001</v>
      </c>
      <c r="G15" s="17">
        <v>14.99654</v>
      </c>
      <c r="H15" s="2">
        <f t="shared" si="0"/>
        <v>13.221539999999999</v>
      </c>
      <c r="I15" t="s">
        <v>23</v>
      </c>
      <c r="J15" s="13" t="s">
        <v>23</v>
      </c>
      <c r="L15">
        <f>(D15-D$11)/D$11*100</f>
        <v>-12.934675028003195</v>
      </c>
      <c r="M15">
        <f t="shared" si="1"/>
        <v>-12.750954897748084</v>
      </c>
      <c r="N15">
        <f t="shared" si="1"/>
        <v>-8.1590839347541362</v>
      </c>
      <c r="O15">
        <f t="shared" si="1"/>
        <v>-2.5166263750764615</v>
      </c>
      <c r="Q15" t="s">
        <v>23</v>
      </c>
      <c r="R15" s="13" t="s">
        <v>23</v>
      </c>
      <c r="S15">
        <f t="shared" ref="S15:S24" si="2">(H15-H$11)/H$11*100</f>
        <v>-12.934675028003195</v>
      </c>
    </row>
    <row r="16" spans="1:26" x14ac:dyDescent="0.25">
      <c r="A16" t="s">
        <v>23</v>
      </c>
      <c r="B16" s="13" t="s">
        <v>18</v>
      </c>
      <c r="D16" s="17"/>
      <c r="E16" s="17">
        <v>17.02516</v>
      </c>
      <c r="F16" s="17">
        <v>15.637079999999999</v>
      </c>
      <c r="G16" s="17"/>
      <c r="H16" s="2">
        <f t="shared" si="0"/>
        <v>15.637079999999999</v>
      </c>
      <c r="I16" t="s">
        <v>23</v>
      </c>
      <c r="J16" s="13" t="s">
        <v>18</v>
      </c>
      <c r="L16">
        <f>(D16-D$11)/D$11*100</f>
        <v>-100</v>
      </c>
      <c r="M16">
        <f t="shared" si="1"/>
        <v>12.099892740670112</v>
      </c>
      <c r="N16">
        <f t="shared" si="1"/>
        <v>2.7529663631471069</v>
      </c>
      <c r="O16">
        <f t="shared" si="1"/>
        <v>-100</v>
      </c>
      <c r="Q16" t="s">
        <v>23</v>
      </c>
      <c r="R16" s="13" t="s">
        <v>18</v>
      </c>
      <c r="S16">
        <f t="shared" si="2"/>
        <v>2.9719270079818108</v>
      </c>
    </row>
    <row r="17" spans="1:19" x14ac:dyDescent="0.25">
      <c r="B17" s="13"/>
      <c r="J17" s="13"/>
      <c r="R17" s="13"/>
    </row>
    <row r="18" spans="1:19" x14ac:dyDescent="0.25">
      <c r="A18" t="s">
        <v>20</v>
      </c>
      <c r="B18" s="13" t="s">
        <v>17</v>
      </c>
      <c r="D18" s="17">
        <v>18.272738</v>
      </c>
      <c r="E18" s="17"/>
      <c r="F18" s="17"/>
      <c r="G18" s="17"/>
      <c r="H18" s="2">
        <f t="shared" si="0"/>
        <v>18.272738</v>
      </c>
      <c r="I18" t="s">
        <v>20</v>
      </c>
      <c r="J18" s="13" t="s">
        <v>17</v>
      </c>
      <c r="L18">
        <f>(D18-D$11)/D$11*100</f>
        <v>20.328030781448689</v>
      </c>
      <c r="M18">
        <f t="shared" ref="M18:O20" si="3">(E18-E$11)/E$11*100</f>
        <v>-100</v>
      </c>
      <c r="N18">
        <f t="shared" si="3"/>
        <v>-100</v>
      </c>
      <c r="O18">
        <f t="shared" si="3"/>
        <v>-100</v>
      </c>
      <c r="Q18" t="s">
        <v>20</v>
      </c>
      <c r="R18" s="13" t="s">
        <v>17</v>
      </c>
      <c r="S18">
        <f t="shared" si="2"/>
        <v>20.328030781448689</v>
      </c>
    </row>
    <row r="19" spans="1:19" x14ac:dyDescent="0.25">
      <c r="A19" t="s">
        <v>21</v>
      </c>
      <c r="B19" s="13" t="s">
        <v>23</v>
      </c>
      <c r="D19" s="17"/>
      <c r="E19" s="17"/>
      <c r="F19" s="17">
        <v>16.333680000000001</v>
      </c>
      <c r="G19" s="17">
        <v>17.919329999999999</v>
      </c>
      <c r="H19" s="2">
        <f t="shared" si="0"/>
        <v>16.333680000000001</v>
      </c>
      <c r="I19" t="s">
        <v>21</v>
      </c>
      <c r="J19" s="13" t="s">
        <v>23</v>
      </c>
      <c r="L19">
        <f>(D19-D$11)/D$11*100</f>
        <v>-100</v>
      </c>
      <c r="M19">
        <f t="shared" si="3"/>
        <v>-100</v>
      </c>
      <c r="N19">
        <f t="shared" si="3"/>
        <v>7.3304013042338356</v>
      </c>
      <c r="O19">
        <f t="shared" si="3"/>
        <v>16.482651431483596</v>
      </c>
      <c r="Q19" t="s">
        <v>21</v>
      </c>
      <c r="R19" s="13" t="s">
        <v>23</v>
      </c>
      <c r="S19">
        <f t="shared" si="2"/>
        <v>7.5591161989151781</v>
      </c>
    </row>
    <row r="20" spans="1:19" x14ac:dyDescent="0.25">
      <c r="A20" t="s">
        <v>20</v>
      </c>
      <c r="B20" s="13" t="s">
        <v>18</v>
      </c>
      <c r="D20" s="17"/>
      <c r="E20" s="17">
        <v>16.355865000000001</v>
      </c>
      <c r="F20" s="17"/>
      <c r="G20" s="17">
        <v>19.728766</v>
      </c>
      <c r="H20" s="2">
        <f t="shared" si="0"/>
        <v>16.355865000000001</v>
      </c>
      <c r="I20" t="s">
        <v>20</v>
      </c>
      <c r="J20" s="13" t="s">
        <v>18</v>
      </c>
      <c r="L20">
        <f>(D20-D$11)/D$11*100</f>
        <v>-100</v>
      </c>
      <c r="M20">
        <f t="shared" si="3"/>
        <v>7.693009180582183</v>
      </c>
      <c r="N20">
        <f t="shared" si="3"/>
        <v>-100</v>
      </c>
      <c r="O20">
        <f t="shared" si="3"/>
        <v>28.244692918279039</v>
      </c>
      <c r="Q20" t="s">
        <v>20</v>
      </c>
      <c r="R20" s="13" t="s">
        <v>18</v>
      </c>
      <c r="S20">
        <f t="shared" si="2"/>
        <v>7.7052069141044646</v>
      </c>
    </row>
    <row r="22" spans="1:19" x14ac:dyDescent="0.25">
      <c r="A22" t="s">
        <v>22</v>
      </c>
      <c r="B22" s="13" t="s">
        <v>17</v>
      </c>
      <c r="D22" s="17"/>
      <c r="E22" s="17">
        <v>17.073768999999999</v>
      </c>
      <c r="F22" s="17">
        <v>16.574783</v>
      </c>
      <c r="G22" s="17">
        <v>16.797293</v>
      </c>
      <c r="H22" s="2">
        <f t="shared" si="0"/>
        <v>16.574783</v>
      </c>
      <c r="I22" t="s">
        <v>22</v>
      </c>
      <c r="J22" s="13" t="s">
        <v>17</v>
      </c>
      <c r="L22">
        <f>(D22-D$11)/D$11*100</f>
        <v>-100</v>
      </c>
      <c r="M22">
        <f t="shared" ref="M22:O24" si="4">(E22-E$11)/E$11*100</f>
        <v>12.419952210668111</v>
      </c>
      <c r="N22">
        <f t="shared" si="4"/>
        <v>8.9147155399513576</v>
      </c>
      <c r="O22">
        <f t="shared" si="4"/>
        <v>9.1889722166788346</v>
      </c>
      <c r="Q22" t="s">
        <v>22</v>
      </c>
      <c r="R22" s="13" t="s">
        <v>17</v>
      </c>
      <c r="S22">
        <f t="shared" si="2"/>
        <v>9.1468065168904857</v>
      </c>
    </row>
    <row r="23" spans="1:19" x14ac:dyDescent="0.25">
      <c r="A23" t="s">
        <v>22</v>
      </c>
      <c r="B23" s="13" t="s">
        <v>23</v>
      </c>
      <c r="D23" s="17"/>
      <c r="E23" s="17">
        <v>17.454339999999998</v>
      </c>
      <c r="F23" s="17">
        <v>16.167369999999998</v>
      </c>
      <c r="G23" s="17"/>
      <c r="H23" s="2">
        <f t="shared" si="0"/>
        <v>16.167369999999998</v>
      </c>
      <c r="I23" t="s">
        <v>22</v>
      </c>
      <c r="J23" s="13" t="s">
        <v>23</v>
      </c>
      <c r="L23">
        <f>(D23-D$11)/D$11*100</f>
        <v>-100</v>
      </c>
      <c r="M23">
        <f t="shared" si="4"/>
        <v>14.92577114454066</v>
      </c>
      <c r="N23">
        <f t="shared" si="4"/>
        <v>6.2375600681555348</v>
      </c>
      <c r="O23">
        <f t="shared" si="4"/>
        <v>-100</v>
      </c>
      <c r="Q23" t="s">
        <v>22</v>
      </c>
      <c r="R23" s="13" t="s">
        <v>23</v>
      </c>
      <c r="S23">
        <f t="shared" si="2"/>
        <v>6.4639461811946211</v>
      </c>
    </row>
    <row r="24" spans="1:19" x14ac:dyDescent="0.25">
      <c r="A24" t="s">
        <v>22</v>
      </c>
      <c r="B24" s="13" t="s">
        <v>18</v>
      </c>
      <c r="D24" s="17">
        <v>17.366043000000001</v>
      </c>
      <c r="E24" s="17"/>
      <c r="F24" s="17"/>
      <c r="G24" s="17"/>
      <c r="H24" s="2">
        <f t="shared" si="0"/>
        <v>17.366043000000001</v>
      </c>
      <c r="I24" t="s">
        <v>22</v>
      </c>
      <c r="J24" s="13" t="s">
        <v>18</v>
      </c>
      <c r="L24">
        <f>(D24-D$11)/D$11*100</f>
        <v>14.357342433080452</v>
      </c>
      <c r="M24">
        <f t="shared" si="4"/>
        <v>-100</v>
      </c>
      <c r="N24">
        <f t="shared" si="4"/>
        <v>-100</v>
      </c>
      <c r="O24">
        <f t="shared" si="4"/>
        <v>-100</v>
      </c>
      <c r="Q24" t="s">
        <v>22</v>
      </c>
      <c r="R24" s="13" t="s">
        <v>18</v>
      </c>
      <c r="S24">
        <f t="shared" si="2"/>
        <v>14.357342433080452</v>
      </c>
    </row>
    <row r="25" spans="1:19" x14ac:dyDescent="0.25">
      <c r="Q25" s="1"/>
      <c r="R25" s="1"/>
    </row>
    <row r="26" spans="1:19" x14ac:dyDescent="0.25">
      <c r="Q26" s="1"/>
      <c r="R26" s="1"/>
    </row>
    <row r="27" spans="1:19" x14ac:dyDescent="0.25">
      <c r="Q27" s="1"/>
      <c r="R27" s="1"/>
    </row>
    <row r="28" spans="1:19" x14ac:dyDescent="0.25">
      <c r="Q28" s="1"/>
      <c r="R28" s="1"/>
    </row>
  </sheetData>
  <mergeCells count="2">
    <mergeCell ref="X9:Z9"/>
    <mergeCell ref="V11:V13"/>
  </mergeCells>
  <conditionalFormatting sqref="X11:Z1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12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9A991-8276-4648-B69C-3EF8C697B53C}">
  <dimension ref="A5:AE51"/>
  <sheetViews>
    <sheetView topLeftCell="G6" zoomScale="70" zoomScaleNormal="70" workbookViewId="0">
      <selection activeCell="AA18" sqref="AA18"/>
    </sheetView>
  </sheetViews>
  <sheetFormatPr defaultColWidth="8.5703125" defaultRowHeight="15" x14ac:dyDescent="0.25"/>
  <cols>
    <col min="2" max="2" width="9.7109375" customWidth="1"/>
    <col min="8" max="8" width="10.5703125" style="2" bestFit="1" customWidth="1"/>
    <col min="9" max="9" width="14.42578125" customWidth="1"/>
    <col min="10" max="10" width="10" bestFit="1" customWidth="1"/>
    <col min="16" max="16" width="8.85546875" style="2" customWidth="1"/>
    <col min="17" max="18" width="11.5703125" customWidth="1"/>
    <col min="20" max="20" width="8.85546875" style="2" customWidth="1"/>
    <col min="22" max="22" width="18.28515625" customWidth="1"/>
  </cols>
  <sheetData>
    <row r="5" spans="1:31" x14ac:dyDescent="0.25">
      <c r="Z5" t="s">
        <v>26</v>
      </c>
      <c r="AA5" s="6">
        <v>7.1800000000000003E-2</v>
      </c>
      <c r="AB5" s="6">
        <f>AC5/2</f>
        <v>0.14344999999999999</v>
      </c>
      <c r="AC5" s="6">
        <v>0.28689999999999999</v>
      </c>
      <c r="AD5" s="6">
        <v>0.43049999999999999</v>
      </c>
      <c r="AE5" s="6">
        <v>0.57410000000000005</v>
      </c>
    </row>
    <row r="6" spans="1:31" x14ac:dyDescent="0.25">
      <c r="Z6" t="s">
        <v>18</v>
      </c>
      <c r="AA6">
        <v>30</v>
      </c>
      <c r="AB6">
        <v>60</v>
      </c>
      <c r="AC6">
        <v>120</v>
      </c>
      <c r="AD6">
        <v>180</v>
      </c>
      <c r="AE6">
        <v>240</v>
      </c>
    </row>
    <row r="7" spans="1:31" x14ac:dyDescent="0.25">
      <c r="B7" t="s">
        <v>7</v>
      </c>
      <c r="I7" t="s">
        <v>8</v>
      </c>
      <c r="Q7" t="s">
        <v>24</v>
      </c>
      <c r="U7" t="s">
        <v>9</v>
      </c>
    </row>
    <row r="8" spans="1:31" x14ac:dyDescent="0.25">
      <c r="B8" s="1" t="s">
        <v>10</v>
      </c>
      <c r="C8">
        <v>0.56799999999999995</v>
      </c>
      <c r="D8">
        <v>0.60799999999999998</v>
      </c>
      <c r="E8">
        <v>0.64800000000000002</v>
      </c>
      <c r="F8">
        <v>0.6835</v>
      </c>
      <c r="G8">
        <v>0.72350000000000003</v>
      </c>
      <c r="I8" s="1" t="s">
        <v>10</v>
      </c>
      <c r="J8" s="1"/>
      <c r="L8">
        <v>0.60799999999999998</v>
      </c>
      <c r="M8">
        <v>0.64800000000000002</v>
      </c>
      <c r="N8">
        <v>0.6835</v>
      </c>
      <c r="O8">
        <v>0.72350000000000003</v>
      </c>
    </row>
    <row r="9" spans="1:31" ht="14.45" customHeight="1" x14ac:dyDescent="0.25">
      <c r="V9" s="48" t="s">
        <v>33</v>
      </c>
      <c r="W9" s="48"/>
      <c r="X9" s="49" t="s">
        <v>11</v>
      </c>
      <c r="Y9" s="49"/>
      <c r="Z9" s="49"/>
      <c r="AA9" s="49"/>
    </row>
    <row r="10" spans="1:31" x14ac:dyDescent="0.25">
      <c r="H10" s="2" t="s">
        <v>25</v>
      </c>
      <c r="V10" s="48"/>
      <c r="W10" s="48"/>
      <c r="X10" t="s">
        <v>27</v>
      </c>
      <c r="Y10" t="s">
        <v>12</v>
      </c>
      <c r="Z10" t="s">
        <v>13</v>
      </c>
      <c r="AA10" t="s">
        <v>14</v>
      </c>
      <c r="AB10" t="s">
        <v>28</v>
      </c>
    </row>
    <row r="11" spans="1:31" ht="15" customHeight="1" x14ac:dyDescent="0.25">
      <c r="B11" s="13" t="s">
        <v>15</v>
      </c>
      <c r="D11">
        <v>11.731275999999999</v>
      </c>
      <c r="E11">
        <v>11.522399999999999</v>
      </c>
      <c r="F11">
        <v>11.39893</v>
      </c>
      <c r="G11">
        <v>12.445986</v>
      </c>
      <c r="H11" s="2">
        <f>F11</f>
        <v>11.39893</v>
      </c>
      <c r="J11" s="13" t="s">
        <v>15</v>
      </c>
      <c r="R11" s="13" t="s">
        <v>15</v>
      </c>
      <c r="V11" s="47" t="s">
        <v>16</v>
      </c>
      <c r="W11">
        <v>30</v>
      </c>
      <c r="X11" s="25">
        <v>-1.8756672775427161</v>
      </c>
      <c r="Y11" s="25">
        <v>-2.4502475232324392</v>
      </c>
      <c r="Z11" s="25">
        <v>-0.16209416146954794</v>
      </c>
      <c r="AA11" s="25">
        <v>8.8245124761710453E-2</v>
      </c>
    </row>
    <row r="12" spans="1:31" ht="15" customHeight="1" x14ac:dyDescent="0.25">
      <c r="B12" s="13"/>
      <c r="J12" s="13"/>
      <c r="R12" s="13"/>
      <c r="V12" s="47"/>
      <c r="W12">
        <v>60</v>
      </c>
      <c r="X12" s="25">
        <v>-4.0921209271396464</v>
      </c>
      <c r="Y12" s="25">
        <v>-3.6116109143577537</v>
      </c>
      <c r="Z12" s="25">
        <v>-2.1836874162750406</v>
      </c>
      <c r="AA12" s="25">
        <v>-0.82156834018631775</v>
      </c>
    </row>
    <row r="13" spans="1:31" x14ac:dyDescent="0.25">
      <c r="A13" s="12" t="s">
        <v>19</v>
      </c>
      <c r="B13" s="12" t="s">
        <v>18</v>
      </c>
      <c r="I13" s="12" t="s">
        <v>19</v>
      </c>
      <c r="J13" s="12" t="s">
        <v>18</v>
      </c>
      <c r="Q13" s="12" t="s">
        <v>19</v>
      </c>
      <c r="R13" s="12" t="s">
        <v>18</v>
      </c>
      <c r="V13" s="47"/>
      <c r="W13">
        <v>120</v>
      </c>
      <c r="X13" s="25">
        <v>-5.0363148120042798</v>
      </c>
      <c r="Y13" s="25">
        <v>-5.8848769138857833</v>
      </c>
      <c r="Z13" s="25">
        <v>-4.9471924119193611</v>
      </c>
      <c r="AA13" s="25">
        <v>-1.9417962914063007</v>
      </c>
    </row>
    <row r="14" spans="1:31" x14ac:dyDescent="0.25">
      <c r="A14" s="13" t="s">
        <v>23</v>
      </c>
      <c r="B14" s="13" t="s">
        <v>30</v>
      </c>
      <c r="D14">
        <v>11.553375000000001</v>
      </c>
      <c r="E14">
        <v>11.380452999999999</v>
      </c>
      <c r="F14">
        <v>11.207462</v>
      </c>
      <c r="G14">
        <v>12.250952</v>
      </c>
      <c r="H14" s="2">
        <f>E14</f>
        <v>11.380452999999999</v>
      </c>
      <c r="I14" s="13" t="s">
        <v>23</v>
      </c>
      <c r="J14" s="13" t="s">
        <v>30</v>
      </c>
      <c r="L14">
        <f>(D14-D$11)/D$11*100</f>
        <v>-1.5164676033536211</v>
      </c>
      <c r="M14">
        <f>(E14-E$11)/E$11*100</f>
        <v>-1.2319221689925715</v>
      </c>
      <c r="N14">
        <f>(F14-F$11)/F$11*100</f>
        <v>-1.6797015158440347</v>
      </c>
      <c r="O14">
        <f>(G14-G$11)/G$11*100</f>
        <v>-1.5670433825009904</v>
      </c>
      <c r="Q14" s="13" t="s">
        <v>23</v>
      </c>
      <c r="R14" s="13" t="s">
        <v>30</v>
      </c>
      <c r="S14">
        <f>(H14-H$11)/H$11*100</f>
        <v>-0.16209416146954794</v>
      </c>
      <c r="V14" s="47"/>
      <c r="W14">
        <v>180</v>
      </c>
      <c r="X14" s="25">
        <v>0.86873066156209644</v>
      </c>
      <c r="Y14" s="25">
        <v>-3.4834585351432059</v>
      </c>
      <c r="Z14" s="25">
        <v>-6.5935574654814086</v>
      </c>
      <c r="AA14" s="25">
        <v>-3.746799041664433</v>
      </c>
    </row>
    <row r="15" spans="1:31" x14ac:dyDescent="0.25">
      <c r="A15" t="s">
        <v>23</v>
      </c>
      <c r="B15" s="13" t="s">
        <v>17</v>
      </c>
      <c r="D15">
        <v>11.348456000000001</v>
      </c>
      <c r="E15">
        <v>11.150013</v>
      </c>
      <c r="F15">
        <v>10.980339000000001</v>
      </c>
      <c r="G15">
        <v>12.084496</v>
      </c>
      <c r="H15" s="2">
        <f>E15</f>
        <v>11.150013</v>
      </c>
      <c r="I15" t="s">
        <v>23</v>
      </c>
      <c r="J15" s="13" t="s">
        <v>17</v>
      </c>
      <c r="L15">
        <f t="shared" ref="L15:L42" si="0">(D15-D$11)/D$11*100</f>
        <v>-3.2632426344755578</v>
      </c>
      <c r="M15">
        <f t="shared" ref="M15:M42" si="1">(E15-E$11)/E$11*100</f>
        <v>-3.2318527390127043</v>
      </c>
      <c r="N15">
        <f t="shared" ref="N15:N42" si="2">(F15-F$11)/F$11*100</f>
        <v>-3.6721955481786384</v>
      </c>
      <c r="O15">
        <f t="shared" ref="O15:O42" si="3">(G15-G$11)/G$11*100</f>
        <v>-2.9044705658515113</v>
      </c>
      <c r="Q15" t="s">
        <v>23</v>
      </c>
      <c r="R15" s="13" t="s">
        <v>17</v>
      </c>
      <c r="S15">
        <f t="shared" ref="S15:S42" si="4">(H15-H$11)/H$11*100</f>
        <v>-2.1836874162750406</v>
      </c>
      <c r="V15" s="47"/>
      <c r="W15">
        <v>240</v>
      </c>
      <c r="X15" s="25">
        <v>9.5504227151144949</v>
      </c>
      <c r="Y15" s="25">
        <v>2.8739100950703316</v>
      </c>
      <c r="Z15" s="25">
        <v>-6.5019962399979692</v>
      </c>
      <c r="AA15" s="25">
        <v>-5.2690559552519449</v>
      </c>
      <c r="AB15">
        <v>0.42043419864846376</v>
      </c>
    </row>
    <row r="16" spans="1:31" x14ac:dyDescent="0.25">
      <c r="A16" t="s">
        <v>23</v>
      </c>
      <c r="B16" s="13" t="s">
        <v>23</v>
      </c>
      <c r="D16">
        <v>11.026180999999999</v>
      </c>
      <c r="E16">
        <v>10.835003</v>
      </c>
      <c r="F16">
        <v>10.698467000000001</v>
      </c>
      <c r="G16">
        <v>11.967513</v>
      </c>
      <c r="H16" s="2">
        <f t="shared" ref="H16:H42" si="5">E16</f>
        <v>10.835003</v>
      </c>
      <c r="I16" t="s">
        <v>23</v>
      </c>
      <c r="J16" s="13" t="s">
        <v>23</v>
      </c>
      <c r="L16">
        <f t="shared" si="0"/>
        <v>-6.010386252953217</v>
      </c>
      <c r="M16">
        <f t="shared" si="1"/>
        <v>-5.9657449836839458</v>
      </c>
      <c r="N16">
        <f t="shared" si="2"/>
        <v>-6.1449890472175825</v>
      </c>
      <c r="O16">
        <f t="shared" si="3"/>
        <v>-3.844396096862067</v>
      </c>
      <c r="Q16" t="s">
        <v>23</v>
      </c>
      <c r="R16" s="13" t="s">
        <v>23</v>
      </c>
      <c r="S16">
        <f t="shared" si="4"/>
        <v>-4.9471924119193611</v>
      </c>
    </row>
    <row r="17" spans="1:31" x14ac:dyDescent="0.25">
      <c r="A17" t="s">
        <v>23</v>
      </c>
      <c r="B17" s="13" t="s">
        <v>18</v>
      </c>
      <c r="D17">
        <v>10.774253</v>
      </c>
      <c r="E17">
        <v>10.647335</v>
      </c>
      <c r="F17">
        <v>10.719427</v>
      </c>
      <c r="G17">
        <v>12.190056999999999</v>
      </c>
      <c r="H17" s="2">
        <f t="shared" si="5"/>
        <v>10.647335</v>
      </c>
      <c r="I17" t="s">
        <v>23</v>
      </c>
      <c r="J17" s="13" t="s">
        <v>18</v>
      </c>
      <c r="L17">
        <f t="shared" si="0"/>
        <v>-8.157876432197142</v>
      </c>
      <c r="M17">
        <f t="shared" si="1"/>
        <v>-7.5944681663542264</v>
      </c>
      <c r="N17">
        <f t="shared" si="2"/>
        <v>-5.9611121394727435</v>
      </c>
      <c r="O17">
        <f t="shared" si="3"/>
        <v>-2.0563175950864805</v>
      </c>
      <c r="Q17" t="s">
        <v>23</v>
      </c>
      <c r="R17" s="13" t="s">
        <v>18</v>
      </c>
      <c r="S17">
        <f t="shared" si="4"/>
        <v>-6.5935574654814086</v>
      </c>
    </row>
    <row r="18" spans="1:31" x14ac:dyDescent="0.25">
      <c r="A18" t="s">
        <v>23</v>
      </c>
      <c r="B18" s="13" t="s">
        <v>31</v>
      </c>
      <c r="D18">
        <v>10.640896</v>
      </c>
      <c r="E18">
        <v>10.657772</v>
      </c>
      <c r="F18">
        <v>10.995718</v>
      </c>
      <c r="G18">
        <v>12.55104</v>
      </c>
      <c r="H18" s="2">
        <f t="shared" si="5"/>
        <v>10.657772</v>
      </c>
      <c r="I18" t="s">
        <v>23</v>
      </c>
      <c r="J18" s="13" t="s">
        <v>31</v>
      </c>
      <c r="L18">
        <f t="shared" si="0"/>
        <v>-9.2946410944555371</v>
      </c>
      <c r="M18">
        <f t="shared" si="1"/>
        <v>-7.5038880788724542</v>
      </c>
      <c r="N18">
        <f t="shared" si="2"/>
        <v>-3.5372793762221537</v>
      </c>
      <c r="O18">
        <f t="shared" si="3"/>
        <v>0.84407936823969487</v>
      </c>
      <c r="Q18" t="s">
        <v>23</v>
      </c>
      <c r="R18" s="13" t="s">
        <v>31</v>
      </c>
      <c r="S18">
        <f t="shared" si="4"/>
        <v>-6.5019962399979692</v>
      </c>
    </row>
    <row r="19" spans="1:31" s="2" customFormat="1" x14ac:dyDescent="0.25">
      <c r="A19"/>
      <c r="B19" s="13"/>
      <c r="C19"/>
      <c r="D19"/>
      <c r="E19"/>
      <c r="F19"/>
      <c r="G19"/>
      <c r="I19"/>
      <c r="J19" s="13"/>
      <c r="K19"/>
      <c r="L19"/>
      <c r="M19"/>
      <c r="N19"/>
      <c r="O19"/>
      <c r="Q19"/>
      <c r="R19" s="13"/>
      <c r="S19"/>
      <c r="U19"/>
      <c r="V19"/>
      <c r="W19"/>
      <c r="X19"/>
      <c r="Y19"/>
      <c r="Z19"/>
      <c r="AA19"/>
      <c r="AB19"/>
      <c r="AC19"/>
      <c r="AD19"/>
      <c r="AE19"/>
    </row>
    <row r="20" spans="1:31" s="2" customFormat="1" x14ac:dyDescent="0.25">
      <c r="A20" t="s">
        <v>20</v>
      </c>
      <c r="B20" s="13" t="s">
        <v>30</v>
      </c>
      <c r="C20"/>
      <c r="D20">
        <v>12.186453</v>
      </c>
      <c r="E20">
        <v>11.119628000000001</v>
      </c>
      <c r="F20">
        <v>11.233162999999999</v>
      </c>
      <c r="G20">
        <v>11.447347000000001</v>
      </c>
      <c r="H20" s="2">
        <f t="shared" si="5"/>
        <v>11.119628000000001</v>
      </c>
      <c r="I20" t="s">
        <v>20</v>
      </c>
      <c r="J20" s="13" t="s">
        <v>30</v>
      </c>
      <c r="K20"/>
      <c r="L20">
        <f t="shared" si="0"/>
        <v>3.8800297597635662</v>
      </c>
      <c r="M20">
        <f t="shared" si="1"/>
        <v>-3.49555648128861</v>
      </c>
      <c r="N20">
        <f t="shared" si="2"/>
        <v>-1.4542329850257933</v>
      </c>
      <c r="O20">
        <f t="shared" si="3"/>
        <v>-8.0237837323615739</v>
      </c>
      <c r="Q20" t="s">
        <v>20</v>
      </c>
      <c r="R20" s="13" t="s">
        <v>30</v>
      </c>
      <c r="S20">
        <f t="shared" si="4"/>
        <v>-2.4502475232324392</v>
      </c>
      <c r="U20"/>
      <c r="V20"/>
      <c r="W20"/>
      <c r="X20"/>
      <c r="Y20"/>
      <c r="Z20"/>
      <c r="AA20"/>
      <c r="AB20"/>
      <c r="AC20"/>
      <c r="AD20"/>
      <c r="AE20"/>
    </row>
    <row r="21" spans="1:31" s="2" customFormat="1" x14ac:dyDescent="0.25">
      <c r="A21" t="s">
        <v>20</v>
      </c>
      <c r="B21" s="13" t="s">
        <v>17</v>
      </c>
      <c r="C21"/>
      <c r="D21">
        <v>11.203635</v>
      </c>
      <c r="E21">
        <v>10.987245</v>
      </c>
      <c r="F21">
        <v>10.851474</v>
      </c>
      <c r="G21">
        <v>12.022994000000001</v>
      </c>
      <c r="H21" s="2">
        <f t="shared" si="5"/>
        <v>10.987245</v>
      </c>
      <c r="I21" t="s">
        <v>20</v>
      </c>
      <c r="J21" s="13" t="s">
        <v>17</v>
      </c>
      <c r="K21"/>
      <c r="L21">
        <f t="shared" si="0"/>
        <v>-4.4977289767967203</v>
      </c>
      <c r="M21">
        <f t="shared" si="1"/>
        <v>-4.6444751093522152</v>
      </c>
      <c r="N21">
        <f t="shared" si="2"/>
        <v>-4.8026963934334219</v>
      </c>
      <c r="O21">
        <f t="shared" si="3"/>
        <v>-3.3986218528608254</v>
      </c>
      <c r="Q21" t="s">
        <v>20</v>
      </c>
      <c r="R21" s="13" t="s">
        <v>17</v>
      </c>
      <c r="S21">
        <f t="shared" si="4"/>
        <v>-3.6116109143577537</v>
      </c>
      <c r="U21"/>
      <c r="V21"/>
      <c r="W21"/>
      <c r="X21"/>
      <c r="Y21"/>
      <c r="Z21"/>
      <c r="AA21"/>
      <c r="AB21"/>
      <c r="AC21"/>
      <c r="AD21"/>
      <c r="AE21"/>
    </row>
    <row r="22" spans="1:31" s="2" customFormat="1" x14ac:dyDescent="0.25">
      <c r="A22" t="s">
        <v>21</v>
      </c>
      <c r="B22" s="13" t="s">
        <v>23</v>
      </c>
      <c r="C22"/>
      <c r="D22">
        <v>10.888108000000001</v>
      </c>
      <c r="E22">
        <v>10.728116999999999</v>
      </c>
      <c r="F22">
        <v>10.767687</v>
      </c>
      <c r="G22">
        <v>12.226369</v>
      </c>
      <c r="H22" s="2">
        <f t="shared" si="5"/>
        <v>10.728116999999999</v>
      </c>
      <c r="I22" t="s">
        <v>21</v>
      </c>
      <c r="J22" s="13" t="s">
        <v>23</v>
      </c>
      <c r="K22"/>
      <c r="L22">
        <f t="shared" si="0"/>
        <v>-7.1873511457747536</v>
      </c>
      <c r="M22">
        <f t="shared" si="1"/>
        <v>-6.8933815871693405</v>
      </c>
      <c r="N22">
        <f t="shared" si="2"/>
        <v>-5.5377390684915122</v>
      </c>
      <c r="O22">
        <f t="shared" si="3"/>
        <v>-1.7645608793067862</v>
      </c>
      <c r="Q22" t="s">
        <v>21</v>
      </c>
      <c r="R22" s="13" t="s">
        <v>23</v>
      </c>
      <c r="S22">
        <f t="shared" si="4"/>
        <v>-5.8848769138857833</v>
      </c>
      <c r="U22"/>
      <c r="V22"/>
      <c r="W22"/>
      <c r="X22"/>
      <c r="Y22"/>
      <c r="Z22"/>
      <c r="AA22"/>
      <c r="AB22"/>
      <c r="AC22"/>
      <c r="AD22"/>
      <c r="AE22"/>
    </row>
    <row r="23" spans="1:31" s="2" customFormat="1" x14ac:dyDescent="0.25">
      <c r="A23" t="s">
        <v>20</v>
      </c>
      <c r="B23" s="13" t="s">
        <v>18</v>
      </c>
      <c r="C23"/>
      <c r="D23">
        <v>10.838986999999999</v>
      </c>
      <c r="E23">
        <v>11.001853000000001</v>
      </c>
      <c r="F23">
        <v>11.405944</v>
      </c>
      <c r="G23">
        <v>13.003933</v>
      </c>
      <c r="H23" s="2">
        <f t="shared" si="5"/>
        <v>11.001853000000001</v>
      </c>
      <c r="I23" t="s">
        <v>20</v>
      </c>
      <c r="J23" s="13" t="s">
        <v>18</v>
      </c>
      <c r="K23"/>
      <c r="L23">
        <f t="shared" si="0"/>
        <v>-7.6060694505866193</v>
      </c>
      <c r="M23">
        <f t="shared" si="1"/>
        <v>-4.5176959661181595</v>
      </c>
      <c r="N23">
        <f t="shared" si="2"/>
        <v>6.1532091169959398E-2</v>
      </c>
      <c r="O23">
        <f t="shared" si="3"/>
        <v>4.4829473534680213</v>
      </c>
      <c r="Q23" t="s">
        <v>20</v>
      </c>
      <c r="R23" s="13" t="s">
        <v>18</v>
      </c>
      <c r="S23">
        <f t="shared" si="4"/>
        <v>-3.4834585351432059</v>
      </c>
      <c r="U23"/>
      <c r="V23"/>
      <c r="W23"/>
      <c r="X23"/>
      <c r="Y23"/>
      <c r="Z23"/>
      <c r="AA23"/>
      <c r="AB23"/>
      <c r="AC23"/>
      <c r="AD23"/>
      <c r="AE23"/>
    </row>
    <row r="24" spans="1:31" s="2" customFormat="1" x14ac:dyDescent="0.25">
      <c r="A24" t="s">
        <v>20</v>
      </c>
      <c r="B24" s="13" t="s">
        <v>31</v>
      </c>
      <c r="C24"/>
      <c r="D24">
        <v>11.189221999999999</v>
      </c>
      <c r="E24">
        <v>11.726525000000001</v>
      </c>
      <c r="F24">
        <v>12.155620000000001</v>
      </c>
      <c r="G24">
        <v>13.923594</v>
      </c>
      <c r="H24" s="2">
        <f t="shared" si="5"/>
        <v>11.726525000000001</v>
      </c>
      <c r="I24" t="s">
        <v>20</v>
      </c>
      <c r="J24" s="13" t="s">
        <v>31</v>
      </c>
      <c r="K24"/>
      <c r="L24">
        <f t="shared" si="0"/>
        <v>-4.6205885872943426</v>
      </c>
      <c r="M24">
        <f t="shared" si="1"/>
        <v>1.771549330000705</v>
      </c>
      <c r="N24">
        <f t="shared" si="2"/>
        <v>6.638254643198974</v>
      </c>
      <c r="O24">
        <f t="shared" si="3"/>
        <v>11.872165049840167</v>
      </c>
      <c r="Q24" t="s">
        <v>20</v>
      </c>
      <c r="R24" s="13" t="s">
        <v>31</v>
      </c>
      <c r="S24">
        <f t="shared" si="4"/>
        <v>2.8739100950703316</v>
      </c>
      <c r="U24"/>
      <c r="V24"/>
      <c r="W24"/>
      <c r="X24"/>
      <c r="Y24"/>
      <c r="Z24"/>
      <c r="AA24"/>
      <c r="AB24"/>
      <c r="AC24"/>
      <c r="AD24"/>
      <c r="AE24"/>
    </row>
    <row r="26" spans="1:31" x14ac:dyDescent="0.25">
      <c r="A26" t="s">
        <v>22</v>
      </c>
      <c r="B26" s="13" t="s">
        <v>30</v>
      </c>
      <c r="D26">
        <v>11.643253</v>
      </c>
      <c r="E26">
        <v>11.408989</v>
      </c>
      <c r="F26">
        <v>11.265032</v>
      </c>
      <c r="G26">
        <v>12.334256999999999</v>
      </c>
      <c r="H26" s="2">
        <f t="shared" si="5"/>
        <v>11.408989</v>
      </c>
      <c r="I26" t="s">
        <v>22</v>
      </c>
      <c r="J26" s="13" t="s">
        <v>30</v>
      </c>
      <c r="L26">
        <f t="shared" si="0"/>
        <v>-0.75032758584828918</v>
      </c>
      <c r="M26">
        <f t="shared" si="1"/>
        <v>-0.98426543081301876</v>
      </c>
      <c r="N26">
        <f t="shared" si="2"/>
        <v>-1.1746541122719441</v>
      </c>
      <c r="O26">
        <f t="shared" si="3"/>
        <v>-0.89771111746389887</v>
      </c>
      <c r="Q26" t="s">
        <v>22</v>
      </c>
      <c r="R26" s="13" t="s">
        <v>30</v>
      </c>
      <c r="S26">
        <f t="shared" si="4"/>
        <v>8.8245124761710453E-2</v>
      </c>
    </row>
    <row r="27" spans="1:31" s="2" customFormat="1" x14ac:dyDescent="0.25">
      <c r="A27" t="s">
        <v>22</v>
      </c>
      <c r="B27" s="13" t="s">
        <v>17</v>
      </c>
      <c r="C27"/>
      <c r="D27">
        <v>11.572773</v>
      </c>
      <c r="E27">
        <v>11.30528</v>
      </c>
      <c r="F27">
        <v>11.21571</v>
      </c>
      <c r="G27">
        <v>12.247591</v>
      </c>
      <c r="H27" s="2">
        <f t="shared" si="5"/>
        <v>11.30528</v>
      </c>
      <c r="I27" t="s">
        <v>22</v>
      </c>
      <c r="J27" s="13" t="s">
        <v>17</v>
      </c>
      <c r="K27"/>
      <c r="L27">
        <f t="shared" si="0"/>
        <v>-1.3511147465970421</v>
      </c>
      <c r="M27">
        <f t="shared" si="1"/>
        <v>-1.8843296535443965</v>
      </c>
      <c r="N27">
        <f t="shared" si="2"/>
        <v>-1.60734384718566</v>
      </c>
      <c r="O27">
        <f t="shared" si="3"/>
        <v>-1.594048073009239</v>
      </c>
      <c r="Q27" t="s">
        <v>22</v>
      </c>
      <c r="R27" s="13" t="s">
        <v>17</v>
      </c>
      <c r="S27">
        <f t="shared" si="4"/>
        <v>-0.82156834018631775</v>
      </c>
      <c r="U27"/>
      <c r="V27"/>
      <c r="W27"/>
      <c r="X27"/>
      <c r="Y27"/>
      <c r="Z27"/>
      <c r="AA27"/>
      <c r="AB27"/>
      <c r="AC27"/>
      <c r="AD27"/>
      <c r="AE27"/>
    </row>
    <row r="28" spans="1:31" s="2" customFormat="1" x14ac:dyDescent="0.25">
      <c r="A28" t="s">
        <v>22</v>
      </c>
      <c r="B28" s="13" t="s">
        <v>23</v>
      </c>
      <c r="C28"/>
      <c r="D28">
        <v>11.385911</v>
      </c>
      <c r="E28">
        <v>11.177586</v>
      </c>
      <c r="F28">
        <v>10.966885</v>
      </c>
      <c r="G28">
        <v>12.043964000000001</v>
      </c>
      <c r="H28" s="2">
        <f t="shared" si="5"/>
        <v>11.177586</v>
      </c>
      <c r="I28" t="s">
        <v>22</v>
      </c>
      <c r="J28" s="13" t="s">
        <v>23</v>
      </c>
      <c r="K28"/>
      <c r="L28">
        <f t="shared" si="0"/>
        <v>-2.9439679025538164</v>
      </c>
      <c r="M28">
        <f t="shared" si="1"/>
        <v>-2.9925536346594419</v>
      </c>
      <c r="N28">
        <f t="shared" si="2"/>
        <v>-3.7902241701633441</v>
      </c>
      <c r="O28">
        <f t="shared" si="3"/>
        <v>-3.2301337957474705</v>
      </c>
      <c r="Q28" t="s">
        <v>22</v>
      </c>
      <c r="R28" s="13" t="s">
        <v>23</v>
      </c>
      <c r="S28">
        <f t="shared" si="4"/>
        <v>-1.9417962914063007</v>
      </c>
      <c r="U28"/>
      <c r="V28"/>
      <c r="W28"/>
      <c r="X28"/>
      <c r="Y28"/>
      <c r="Z28"/>
      <c r="AA28"/>
      <c r="AB28"/>
      <c r="AC28"/>
      <c r="AD28"/>
      <c r="AE28"/>
    </row>
    <row r="29" spans="1:31" s="2" customFormat="1" x14ac:dyDescent="0.25">
      <c r="A29" t="s">
        <v>22</v>
      </c>
      <c r="B29" s="13" t="s">
        <v>18</v>
      </c>
      <c r="C29"/>
      <c r="D29">
        <v>11.221195</v>
      </c>
      <c r="E29">
        <v>10.971835</v>
      </c>
      <c r="F29">
        <v>10.778619000000001</v>
      </c>
      <c r="G29">
        <v>11.939745</v>
      </c>
      <c r="H29" s="2">
        <f t="shared" si="5"/>
        <v>10.971835</v>
      </c>
      <c r="I29" t="s">
        <v>22</v>
      </c>
      <c r="J29" s="13" t="s">
        <v>18</v>
      </c>
      <c r="K29"/>
      <c r="L29">
        <f t="shared" si="0"/>
        <v>-4.3480436399245876</v>
      </c>
      <c r="M29">
        <f t="shared" si="1"/>
        <v>-4.7782146080677537</v>
      </c>
      <c r="N29">
        <f t="shared" si="2"/>
        <v>-5.4418353301581739</v>
      </c>
      <c r="O29">
        <f t="shared" si="3"/>
        <v>-4.067504173634771</v>
      </c>
      <c r="Q29" t="s">
        <v>22</v>
      </c>
      <c r="R29" s="13" t="s">
        <v>18</v>
      </c>
      <c r="S29">
        <f t="shared" si="4"/>
        <v>-3.746799041664433</v>
      </c>
      <c r="U29"/>
      <c r="V29"/>
      <c r="W29"/>
      <c r="X29"/>
      <c r="Y29"/>
      <c r="Z29"/>
      <c r="AA29"/>
      <c r="AB29"/>
      <c r="AC29"/>
      <c r="AD29"/>
      <c r="AE29"/>
    </row>
    <row r="30" spans="1:31" s="2" customFormat="1" x14ac:dyDescent="0.25">
      <c r="A30" t="s">
        <v>22</v>
      </c>
      <c r="B30" s="13" t="s">
        <v>31</v>
      </c>
      <c r="C30"/>
      <c r="D30">
        <v>11.060422000000001</v>
      </c>
      <c r="E30">
        <v>10.798314</v>
      </c>
      <c r="F30">
        <v>10.646208</v>
      </c>
      <c r="G30">
        <v>11.930514000000001</v>
      </c>
      <c r="H30" s="2">
        <f t="shared" si="5"/>
        <v>10.798314</v>
      </c>
      <c r="I30" t="s">
        <v>22</v>
      </c>
      <c r="J30" s="13" t="s">
        <v>31</v>
      </c>
      <c r="K30"/>
      <c r="L30">
        <f t="shared" si="0"/>
        <v>-5.7185083702744572</v>
      </c>
      <c r="M30">
        <f t="shared" si="1"/>
        <v>-6.2841595500937295</v>
      </c>
      <c r="N30">
        <f t="shared" si="2"/>
        <v>-6.6034443583739906</v>
      </c>
      <c r="O30">
        <f t="shared" si="3"/>
        <v>-4.141672664584382</v>
      </c>
      <c r="Q30" t="s">
        <v>22</v>
      </c>
      <c r="R30" s="13" t="s">
        <v>31</v>
      </c>
      <c r="S30">
        <f t="shared" si="4"/>
        <v>-5.2690559552519449</v>
      </c>
      <c r="U30"/>
      <c r="V30"/>
      <c r="W30"/>
      <c r="X30"/>
      <c r="Y30"/>
      <c r="Z30"/>
      <c r="AA30"/>
      <c r="AB30"/>
      <c r="AC30"/>
      <c r="AD30"/>
      <c r="AE30"/>
    </row>
    <row r="31" spans="1:31" s="2" customFormat="1" x14ac:dyDescent="0.25">
      <c r="A31"/>
      <c r="B31"/>
      <c r="C31"/>
      <c r="D31"/>
      <c r="E31"/>
      <c r="F31"/>
      <c r="G31"/>
      <c r="I31"/>
      <c r="J31"/>
      <c r="K31"/>
      <c r="L31"/>
      <c r="M31"/>
      <c r="N31"/>
      <c r="O31"/>
      <c r="Q31"/>
      <c r="R31"/>
      <c r="S31"/>
      <c r="U31"/>
      <c r="V31"/>
      <c r="W31"/>
      <c r="X31"/>
      <c r="Y31"/>
      <c r="Z31"/>
      <c r="AA31"/>
      <c r="AB31"/>
      <c r="AC31"/>
      <c r="AD31"/>
      <c r="AE31"/>
    </row>
    <row r="32" spans="1:31" s="2" customFormat="1" x14ac:dyDescent="0.25">
      <c r="A32" t="s">
        <v>29</v>
      </c>
      <c r="B32" s="13" t="s">
        <v>30</v>
      </c>
      <c r="C32"/>
      <c r="D32">
        <v>11.410195999999999</v>
      </c>
      <c r="E32">
        <v>11.185124</v>
      </c>
      <c r="F32">
        <v>11.04116</v>
      </c>
      <c r="G32">
        <v>12.15089</v>
      </c>
      <c r="H32" s="2">
        <f t="shared" si="5"/>
        <v>11.185124</v>
      </c>
      <c r="I32" t="s">
        <v>29</v>
      </c>
      <c r="J32" s="13" t="s">
        <v>30</v>
      </c>
      <c r="K32"/>
      <c r="L32">
        <f t="shared" si="0"/>
        <v>-2.7369571732861817</v>
      </c>
      <c r="M32">
        <f t="shared" si="1"/>
        <v>-2.9271332361313553</v>
      </c>
      <c r="N32">
        <f t="shared" si="2"/>
        <v>-3.138627923848996</v>
      </c>
      <c r="O32">
        <f t="shared" si="3"/>
        <v>-2.3710134335680531</v>
      </c>
      <c r="Q32" t="s">
        <v>29</v>
      </c>
      <c r="R32" s="13" t="s">
        <v>30</v>
      </c>
      <c r="S32">
        <f t="shared" si="4"/>
        <v>-1.8756672775427161</v>
      </c>
      <c r="U32"/>
      <c r="V32"/>
      <c r="W32"/>
      <c r="X32"/>
      <c r="Y32"/>
      <c r="Z32"/>
      <c r="AA32"/>
      <c r="AB32"/>
      <c r="AC32"/>
      <c r="AD32"/>
      <c r="AE32"/>
    </row>
    <row r="33" spans="1:31" s="2" customFormat="1" x14ac:dyDescent="0.25">
      <c r="A33" t="s">
        <v>29</v>
      </c>
      <c r="B33" s="13" t="s">
        <v>17</v>
      </c>
      <c r="C33"/>
      <c r="D33">
        <v>11.121592</v>
      </c>
      <c r="E33">
        <v>10.932472000000001</v>
      </c>
      <c r="F33">
        <v>10.816383</v>
      </c>
      <c r="G33">
        <v>12.043445999999999</v>
      </c>
      <c r="H33" s="2">
        <f t="shared" si="5"/>
        <v>10.932472000000001</v>
      </c>
      <c r="I33" t="s">
        <v>29</v>
      </c>
      <c r="J33" s="13" t="s">
        <v>17</v>
      </c>
      <c r="K33"/>
      <c r="L33">
        <f t="shared" si="0"/>
        <v>-5.1970817155780811</v>
      </c>
      <c r="M33">
        <f t="shared" si="1"/>
        <v>-5.1198361452475067</v>
      </c>
      <c r="N33">
        <f t="shared" si="2"/>
        <v>-5.1105410771010957</v>
      </c>
      <c r="O33">
        <f t="shared" si="3"/>
        <v>-3.2342957801816596</v>
      </c>
      <c r="Q33" t="s">
        <v>29</v>
      </c>
      <c r="R33" s="13" t="s">
        <v>17</v>
      </c>
      <c r="S33">
        <f t="shared" si="4"/>
        <v>-4.0921209271396464</v>
      </c>
      <c r="U33"/>
      <c r="V33"/>
      <c r="W33"/>
      <c r="X33"/>
      <c r="Y33"/>
      <c r="Z33"/>
      <c r="AA33"/>
      <c r="AB33"/>
      <c r="AC33"/>
      <c r="AD33"/>
      <c r="AE33"/>
    </row>
    <row r="34" spans="1:31" s="2" customFormat="1" x14ac:dyDescent="0.25">
      <c r="A34" t="s">
        <v>29</v>
      </c>
      <c r="B34" s="13" t="s">
        <v>23</v>
      </c>
      <c r="C34"/>
      <c r="D34">
        <v>10.877855</v>
      </c>
      <c r="E34">
        <v>10.824844000000001</v>
      </c>
      <c r="F34">
        <v>11.032242999999999</v>
      </c>
      <c r="G34">
        <v>12.529469000000001</v>
      </c>
      <c r="H34" s="2">
        <f t="shared" si="5"/>
        <v>10.824844000000001</v>
      </c>
      <c r="I34" t="s">
        <v>29</v>
      </c>
      <c r="J34" s="13" t="s">
        <v>23</v>
      </c>
      <c r="K34"/>
      <c r="L34">
        <f t="shared" si="0"/>
        <v>-7.2747499930953721</v>
      </c>
      <c r="M34">
        <f t="shared" si="1"/>
        <v>-6.0539123793653999</v>
      </c>
      <c r="N34">
        <f t="shared" si="2"/>
        <v>-3.2168545644196489</v>
      </c>
      <c r="O34">
        <f t="shared" si="3"/>
        <v>0.67076244501641813</v>
      </c>
      <c r="Q34" t="s">
        <v>29</v>
      </c>
      <c r="R34" s="13" t="s">
        <v>23</v>
      </c>
      <c r="S34">
        <f t="shared" si="4"/>
        <v>-5.0363148120042798</v>
      </c>
      <c r="U34"/>
      <c r="V34"/>
      <c r="W34"/>
      <c r="X34"/>
      <c r="Y34"/>
      <c r="Z34"/>
      <c r="AA34"/>
      <c r="AB34"/>
      <c r="AC34"/>
      <c r="AD34"/>
      <c r="AE34"/>
    </row>
    <row r="35" spans="1:31" s="2" customFormat="1" x14ac:dyDescent="0.25">
      <c r="A35" t="s">
        <v>29</v>
      </c>
      <c r="B35" s="13" t="s">
        <v>18</v>
      </c>
      <c r="C35"/>
      <c r="D35">
        <v>11.124095000000001</v>
      </c>
      <c r="E35">
        <v>11.497956</v>
      </c>
      <c r="F35">
        <v>11.915013999999999</v>
      </c>
      <c r="G35">
        <v>13.570715999999999</v>
      </c>
      <c r="H35" s="2">
        <f t="shared" si="5"/>
        <v>11.497956</v>
      </c>
      <c r="I35" t="s">
        <v>29</v>
      </c>
      <c r="J35" s="13" t="s">
        <v>18</v>
      </c>
      <c r="K35"/>
      <c r="L35">
        <f t="shared" si="0"/>
        <v>-5.1757455881184526</v>
      </c>
      <c r="M35">
        <f t="shared" si="1"/>
        <v>-0.21214330347843349</v>
      </c>
      <c r="N35">
        <f t="shared" si="2"/>
        <v>4.5274775790359207</v>
      </c>
      <c r="O35">
        <f t="shared" si="3"/>
        <v>9.0368894838866094</v>
      </c>
      <c r="Q35" t="s">
        <v>29</v>
      </c>
      <c r="R35" s="13" t="s">
        <v>18</v>
      </c>
      <c r="S35">
        <f t="shared" si="4"/>
        <v>0.86873066156209644</v>
      </c>
      <c r="U35"/>
      <c r="V35"/>
      <c r="W35"/>
      <c r="X35"/>
      <c r="Y35"/>
      <c r="Z35"/>
      <c r="AA35"/>
      <c r="AB35"/>
      <c r="AC35"/>
      <c r="AD35"/>
      <c r="AE35"/>
    </row>
    <row r="36" spans="1:31" x14ac:dyDescent="0.25">
      <c r="A36" t="s">
        <v>29</v>
      </c>
      <c r="B36" s="13" t="s">
        <v>31</v>
      </c>
      <c r="D36">
        <v>11.816176</v>
      </c>
      <c r="E36">
        <v>12.487576000000001</v>
      </c>
      <c r="F36">
        <v>12.949939000000001</v>
      </c>
      <c r="G36">
        <v>14.728507</v>
      </c>
      <c r="H36" s="2">
        <f t="shared" si="5"/>
        <v>12.487576000000001</v>
      </c>
      <c r="I36" t="s">
        <v>29</v>
      </c>
      <c r="J36" s="13" t="s">
        <v>31</v>
      </c>
      <c r="L36">
        <f t="shared" si="0"/>
        <v>0.72370644079979951</v>
      </c>
      <c r="M36">
        <f t="shared" si="1"/>
        <v>8.3765187808095671</v>
      </c>
      <c r="N36">
        <f t="shared" si="2"/>
        <v>13.606619217768689</v>
      </c>
      <c r="O36">
        <f t="shared" si="3"/>
        <v>18.339414812133011</v>
      </c>
      <c r="Q36" t="s">
        <v>29</v>
      </c>
      <c r="R36" s="13" t="s">
        <v>31</v>
      </c>
      <c r="S36">
        <f t="shared" si="4"/>
        <v>9.5504227151144949</v>
      </c>
    </row>
    <row r="38" spans="1:31" x14ac:dyDescent="0.25">
      <c r="A38" t="s">
        <v>32</v>
      </c>
      <c r="B38" s="13" t="s">
        <v>30</v>
      </c>
      <c r="H38" s="2">
        <f t="shared" si="5"/>
        <v>0</v>
      </c>
      <c r="I38" t="s">
        <v>32</v>
      </c>
      <c r="J38" s="13" t="s">
        <v>30</v>
      </c>
      <c r="L38">
        <f t="shared" si="0"/>
        <v>-100</v>
      </c>
      <c r="M38">
        <f t="shared" si="1"/>
        <v>-100</v>
      </c>
      <c r="N38">
        <f t="shared" si="2"/>
        <v>-100</v>
      </c>
      <c r="O38">
        <f t="shared" si="3"/>
        <v>-100</v>
      </c>
      <c r="Q38" t="s">
        <v>32</v>
      </c>
      <c r="R38" s="13" t="s">
        <v>30</v>
      </c>
      <c r="S38">
        <f t="shared" si="4"/>
        <v>-100</v>
      </c>
    </row>
    <row r="39" spans="1:31" x14ac:dyDescent="0.25">
      <c r="A39" t="s">
        <v>32</v>
      </c>
      <c r="B39" s="13" t="s">
        <v>17</v>
      </c>
      <c r="H39" s="2">
        <f t="shared" si="5"/>
        <v>0</v>
      </c>
      <c r="I39" t="s">
        <v>32</v>
      </c>
      <c r="J39" s="13" t="s">
        <v>17</v>
      </c>
      <c r="L39">
        <f t="shared" si="0"/>
        <v>-100</v>
      </c>
      <c r="M39">
        <f t="shared" si="1"/>
        <v>-100</v>
      </c>
      <c r="N39">
        <f t="shared" si="2"/>
        <v>-100</v>
      </c>
      <c r="O39">
        <f t="shared" si="3"/>
        <v>-100</v>
      </c>
      <c r="Q39" t="s">
        <v>32</v>
      </c>
      <c r="R39" s="13" t="s">
        <v>17</v>
      </c>
      <c r="S39">
        <f t="shared" si="4"/>
        <v>-100</v>
      </c>
    </row>
    <row r="40" spans="1:31" x14ac:dyDescent="0.25">
      <c r="A40" t="s">
        <v>32</v>
      </c>
      <c r="B40" s="13" t="s">
        <v>23</v>
      </c>
      <c r="H40" s="2">
        <f t="shared" si="5"/>
        <v>0</v>
      </c>
      <c r="I40" t="s">
        <v>32</v>
      </c>
      <c r="J40" s="13" t="s">
        <v>23</v>
      </c>
      <c r="L40">
        <f t="shared" si="0"/>
        <v>-100</v>
      </c>
      <c r="M40">
        <f t="shared" si="1"/>
        <v>-100</v>
      </c>
      <c r="N40">
        <f t="shared" si="2"/>
        <v>-100</v>
      </c>
      <c r="O40">
        <f t="shared" si="3"/>
        <v>-100</v>
      </c>
      <c r="Q40" t="s">
        <v>32</v>
      </c>
      <c r="R40" s="13" t="s">
        <v>23</v>
      </c>
      <c r="S40">
        <f t="shared" si="4"/>
        <v>-100</v>
      </c>
    </row>
    <row r="41" spans="1:31" x14ac:dyDescent="0.25">
      <c r="A41" t="s">
        <v>32</v>
      </c>
      <c r="B41" s="13" t="s">
        <v>18</v>
      </c>
      <c r="H41" s="2">
        <f t="shared" si="5"/>
        <v>0</v>
      </c>
      <c r="I41" t="s">
        <v>32</v>
      </c>
      <c r="J41" s="13" t="s">
        <v>18</v>
      </c>
      <c r="L41">
        <f t="shared" si="0"/>
        <v>-100</v>
      </c>
      <c r="M41">
        <f t="shared" si="1"/>
        <v>-100</v>
      </c>
      <c r="N41">
        <f t="shared" si="2"/>
        <v>-100</v>
      </c>
      <c r="O41">
        <f t="shared" si="3"/>
        <v>-100</v>
      </c>
      <c r="Q41" t="s">
        <v>32</v>
      </c>
      <c r="R41" s="13" t="s">
        <v>18</v>
      </c>
      <c r="S41">
        <f t="shared" si="4"/>
        <v>-100</v>
      </c>
    </row>
    <row r="42" spans="1:31" x14ac:dyDescent="0.25">
      <c r="A42" t="s">
        <v>32</v>
      </c>
      <c r="B42" s="13" t="s">
        <v>31</v>
      </c>
      <c r="D42">
        <v>11.647097</v>
      </c>
      <c r="E42">
        <v>11.446854999999999</v>
      </c>
      <c r="F42">
        <v>11.816176</v>
      </c>
      <c r="G42">
        <v>12.176914</v>
      </c>
      <c r="H42" s="2">
        <f t="shared" si="5"/>
        <v>11.446854999999999</v>
      </c>
      <c r="I42" t="s">
        <v>32</v>
      </c>
      <c r="J42" s="13" t="s">
        <v>31</v>
      </c>
      <c r="L42">
        <f t="shared" si="0"/>
        <v>-0.71756047679722901</v>
      </c>
      <c r="M42">
        <f t="shared" si="1"/>
        <v>-0.655635978615566</v>
      </c>
      <c r="N42">
        <f t="shared" si="2"/>
        <v>3.6603961950814723</v>
      </c>
      <c r="O42">
        <f t="shared" si="3"/>
        <v>-2.1619179067050176</v>
      </c>
      <c r="Q42" t="s">
        <v>32</v>
      </c>
      <c r="R42" s="13" t="s">
        <v>31</v>
      </c>
      <c r="S42">
        <f t="shared" si="4"/>
        <v>0.42043419864846376</v>
      </c>
    </row>
    <row r="45" spans="1:31" x14ac:dyDescent="0.25">
      <c r="H45" s="2">
        <f t="shared" ref="H45:H51" si="6">E45</f>
        <v>0</v>
      </c>
    </row>
    <row r="46" spans="1:31" x14ac:dyDescent="0.25">
      <c r="H46" s="2">
        <f t="shared" si="6"/>
        <v>0</v>
      </c>
    </row>
    <row r="47" spans="1:31" x14ac:dyDescent="0.25">
      <c r="H47" s="2">
        <f t="shared" si="6"/>
        <v>0</v>
      </c>
    </row>
    <row r="48" spans="1:31" x14ac:dyDescent="0.25">
      <c r="H48" s="2">
        <f t="shared" si="6"/>
        <v>0</v>
      </c>
    </row>
    <row r="49" spans="8:8" x14ac:dyDescent="0.25">
      <c r="H49" s="2">
        <f t="shared" si="6"/>
        <v>0</v>
      </c>
    </row>
    <row r="50" spans="8:8" x14ac:dyDescent="0.25">
      <c r="H50" s="2">
        <f t="shared" si="6"/>
        <v>0</v>
      </c>
    </row>
    <row r="51" spans="8:8" x14ac:dyDescent="0.25">
      <c r="H51" s="2">
        <f t="shared" si="6"/>
        <v>0</v>
      </c>
    </row>
  </sheetData>
  <mergeCells count="3">
    <mergeCell ref="V11:V15"/>
    <mergeCell ref="X9:AA9"/>
    <mergeCell ref="V9:W10"/>
  </mergeCells>
  <conditionalFormatting sqref="X11:AA15">
    <cfRule type="colorScale" priority="1">
      <colorScale>
        <cfvo type="min"/>
        <cfvo type="num" val="0"/>
        <cfvo type="max"/>
        <color rgb="FF63BE7B"/>
        <color rgb="FFFCFCFF"/>
        <color rgb="FFF8696B"/>
      </colorScale>
    </cfRule>
  </conditionalFormatting>
  <conditionalFormatting sqref="AB11:AB15">
    <cfRule type="colorScale" priority="3">
      <colorScale>
        <cfvo type="min"/>
        <cfvo type="num" val="0"/>
        <cfvo type="max"/>
        <color rgb="FF63BE7B"/>
        <color rgb="FFFCFCFF"/>
        <color rgb="FFF8696B"/>
      </colorScale>
    </cfRule>
  </conditionalFormatting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28EC8-6AD2-4787-B3C5-90360A6DF1C9}">
  <dimension ref="A5:AE51"/>
  <sheetViews>
    <sheetView zoomScale="70" zoomScaleNormal="70" workbookViewId="0">
      <selection activeCell="X10" sqref="X10:AA10"/>
    </sheetView>
  </sheetViews>
  <sheetFormatPr defaultColWidth="8.5703125" defaultRowHeight="15" x14ac:dyDescent="0.25"/>
  <cols>
    <col min="2" max="2" width="9.7109375" customWidth="1"/>
    <col min="8" max="8" width="10.5703125" style="2" bestFit="1" customWidth="1"/>
    <col min="9" max="9" width="14.42578125" customWidth="1"/>
    <col min="10" max="10" width="10" bestFit="1" customWidth="1"/>
    <col min="16" max="16" width="8.85546875" style="2" customWidth="1"/>
    <col min="17" max="18" width="11.5703125" customWidth="1"/>
    <col min="20" max="20" width="8.85546875" style="2" customWidth="1"/>
    <col min="22" max="22" width="18.28515625" customWidth="1"/>
  </cols>
  <sheetData>
    <row r="5" spans="1:31" x14ac:dyDescent="0.25">
      <c r="Z5" t="s">
        <v>26</v>
      </c>
      <c r="AA5" s="6">
        <v>7.1800000000000003E-2</v>
      </c>
      <c r="AB5" s="6">
        <f>AC5/2</f>
        <v>0.14344999999999999</v>
      </c>
      <c r="AC5" s="6">
        <v>0.28689999999999999</v>
      </c>
      <c r="AD5" s="6">
        <v>0.43049999999999999</v>
      </c>
      <c r="AE5" s="6">
        <v>0.57410000000000005</v>
      </c>
    </row>
    <row r="6" spans="1:31" x14ac:dyDescent="0.25">
      <c r="Z6" t="s">
        <v>18</v>
      </c>
      <c r="AA6">
        <v>30</v>
      </c>
      <c r="AB6">
        <v>60</v>
      </c>
      <c r="AC6">
        <v>120</v>
      </c>
      <c r="AD6">
        <v>180</v>
      </c>
      <c r="AE6">
        <v>240</v>
      </c>
    </row>
    <row r="7" spans="1:31" x14ac:dyDescent="0.25">
      <c r="B7" t="s">
        <v>7</v>
      </c>
      <c r="I7" t="s">
        <v>8</v>
      </c>
      <c r="Q7" t="s">
        <v>24</v>
      </c>
      <c r="U7" t="s">
        <v>9</v>
      </c>
    </row>
    <row r="8" spans="1:31" x14ac:dyDescent="0.25">
      <c r="B8" s="1" t="s">
        <v>10</v>
      </c>
      <c r="C8">
        <v>0.56399999999999995</v>
      </c>
      <c r="D8">
        <v>0.60399999999999998</v>
      </c>
      <c r="E8">
        <v>0.64400000000000002</v>
      </c>
      <c r="F8">
        <v>0.68400000000000005</v>
      </c>
      <c r="G8">
        <v>0.72399999999999998</v>
      </c>
      <c r="I8" s="1" t="s">
        <v>10</v>
      </c>
      <c r="J8" s="1"/>
      <c r="L8">
        <v>0.60799999999999998</v>
      </c>
      <c r="M8">
        <v>0.64800000000000002</v>
      </c>
      <c r="N8">
        <v>0.6835</v>
      </c>
      <c r="O8">
        <v>0.72350000000000003</v>
      </c>
    </row>
    <row r="9" spans="1:31" x14ac:dyDescent="0.25">
      <c r="V9" s="48" t="s">
        <v>34</v>
      </c>
      <c r="W9" s="48"/>
      <c r="X9" s="49" t="s">
        <v>11</v>
      </c>
      <c r="Y9" s="49"/>
      <c r="Z9" s="49"/>
      <c r="AA9" s="49"/>
    </row>
    <row r="10" spans="1:31" x14ac:dyDescent="0.25">
      <c r="H10" s="2" t="s">
        <v>25</v>
      </c>
      <c r="V10" s="48"/>
      <c r="W10" s="48"/>
      <c r="X10" t="s">
        <v>27</v>
      </c>
      <c r="Y10" t="s">
        <v>12</v>
      </c>
      <c r="Z10" s="21" t="s">
        <v>13</v>
      </c>
      <c r="AA10" t="s">
        <v>14</v>
      </c>
      <c r="AB10" t="s">
        <v>28</v>
      </c>
    </row>
    <row r="11" spans="1:31" ht="15" customHeight="1" x14ac:dyDescent="0.25">
      <c r="B11" s="13" t="s">
        <v>15</v>
      </c>
      <c r="D11">
        <v>17.968924999999999</v>
      </c>
      <c r="E11">
        <v>17.407076</v>
      </c>
      <c r="F11">
        <v>17.503122999999999</v>
      </c>
      <c r="G11">
        <v>19.048659000000001</v>
      </c>
      <c r="H11" s="2">
        <f>F11</f>
        <v>17.503122999999999</v>
      </c>
      <c r="J11" s="13" t="s">
        <v>15</v>
      </c>
      <c r="R11" s="13" t="s">
        <v>15</v>
      </c>
      <c r="V11" s="47" t="s">
        <v>16</v>
      </c>
      <c r="W11">
        <v>30</v>
      </c>
      <c r="X11">
        <v>-7.2819119193757569</v>
      </c>
      <c r="Y11">
        <v>-6.6979818401550233</v>
      </c>
      <c r="Z11" s="22">
        <v>-5.2920156020157112</v>
      </c>
      <c r="AA11">
        <v>-4.1608860315956164</v>
      </c>
    </row>
    <row r="12" spans="1:31" ht="15" customHeight="1" x14ac:dyDescent="0.25">
      <c r="B12" s="13"/>
      <c r="J12" s="13"/>
      <c r="R12" s="13"/>
      <c r="V12" s="47"/>
      <c r="W12">
        <v>60</v>
      </c>
      <c r="X12">
        <v>-11.898830854356673</v>
      </c>
      <c r="Y12">
        <v>-10.949760222789951</v>
      </c>
      <c r="Z12" s="22">
        <v>-8.7608194263389372</v>
      </c>
      <c r="AA12">
        <v>-6.6480878869445048</v>
      </c>
    </row>
    <row r="13" spans="1:31" x14ac:dyDescent="0.25">
      <c r="A13" s="12" t="s">
        <v>19</v>
      </c>
      <c r="B13" s="12" t="s">
        <v>18</v>
      </c>
      <c r="I13" s="12" t="s">
        <v>19</v>
      </c>
      <c r="J13" s="12" t="s">
        <v>18</v>
      </c>
      <c r="Q13" s="12" t="s">
        <v>19</v>
      </c>
      <c r="R13" s="12" t="s">
        <v>18</v>
      </c>
      <c r="V13" s="47"/>
      <c r="W13" s="18">
        <v>120</v>
      </c>
      <c r="X13" s="19">
        <v>-16.388983840198108</v>
      </c>
      <c r="Y13" s="19">
        <v>-16.917723768495481</v>
      </c>
      <c r="Z13" s="23">
        <v>-15.224237411803584</v>
      </c>
      <c r="AA13" s="20">
        <v>-11.983575731028106</v>
      </c>
    </row>
    <row r="14" spans="1:31" x14ac:dyDescent="0.25">
      <c r="A14" s="13" t="s">
        <v>23</v>
      </c>
      <c r="B14" s="13" t="s">
        <v>30</v>
      </c>
      <c r="D14">
        <v>16.769624</v>
      </c>
      <c r="E14">
        <v>16.576854999999998</v>
      </c>
      <c r="F14">
        <v>17.262923000000001</v>
      </c>
      <c r="G14">
        <v>18.412358999999999</v>
      </c>
      <c r="H14" s="2">
        <f>E14</f>
        <v>16.576854999999998</v>
      </c>
      <c r="I14" s="13" t="s">
        <v>23</v>
      </c>
      <c r="J14" s="13" t="s">
        <v>30</v>
      </c>
      <c r="L14">
        <f>(D14-D$11)/D$11*100</f>
        <v>-6.6743057806741284</v>
      </c>
      <c r="M14">
        <f>(E14-E$11)/E$11*100</f>
        <v>-4.7694454829748638</v>
      </c>
      <c r="N14">
        <f>(F14-F$11)/F$11*100</f>
        <v>-1.3723265271003238</v>
      </c>
      <c r="O14">
        <f>(G14-G$11)/G$11*100</f>
        <v>-3.3403926229137815</v>
      </c>
      <c r="Q14" s="13" t="s">
        <v>23</v>
      </c>
      <c r="R14" s="13" t="s">
        <v>30</v>
      </c>
      <c r="S14">
        <f>(H14-H$11)/H$11*100</f>
        <v>-5.2920156020157112</v>
      </c>
      <c r="V14" s="47"/>
      <c r="W14">
        <v>180</v>
      </c>
      <c r="X14">
        <v>-10.773934457296559</v>
      </c>
      <c r="Y14">
        <v>-14.520208765030093</v>
      </c>
      <c r="Z14" s="22">
        <v>-17.870405184263394</v>
      </c>
      <c r="AA14">
        <v>-16.266542833527474</v>
      </c>
    </row>
    <row r="15" spans="1:31" x14ac:dyDescent="0.25">
      <c r="A15" t="s">
        <v>23</v>
      </c>
      <c r="B15" s="13" t="s">
        <v>17</v>
      </c>
      <c r="D15">
        <v>16.285982000000001</v>
      </c>
      <c r="E15">
        <v>15.969706</v>
      </c>
      <c r="F15">
        <v>17.337682999999998</v>
      </c>
      <c r="G15">
        <v>17.790658000000001</v>
      </c>
      <c r="H15" s="2">
        <f>E15</f>
        <v>15.969706</v>
      </c>
      <c r="I15" t="s">
        <v>23</v>
      </c>
      <c r="J15" s="13" t="s">
        <v>17</v>
      </c>
      <c r="L15">
        <f t="shared" ref="L15:O42" si="0">(D15-D$11)/D$11*100</f>
        <v>-9.3658524369153859</v>
      </c>
      <c r="M15">
        <f t="shared" si="0"/>
        <v>-8.2573891215273587</v>
      </c>
      <c r="N15">
        <f t="shared" si="0"/>
        <v>-0.94520275038917489</v>
      </c>
      <c r="O15">
        <f t="shared" si="0"/>
        <v>-6.6041446802108235</v>
      </c>
      <c r="Q15" t="s">
        <v>23</v>
      </c>
      <c r="R15" s="13" t="s">
        <v>17</v>
      </c>
      <c r="S15">
        <f t="shared" ref="S15:S42" si="1">(H15-H$11)/H$11*100</f>
        <v>-8.7608194263389372</v>
      </c>
      <c r="V15" s="47"/>
      <c r="W15">
        <v>240</v>
      </c>
      <c r="X15">
        <v>2.4567272937520941</v>
      </c>
      <c r="Y15">
        <v>-4.7745593743470796</v>
      </c>
      <c r="Z15" s="24">
        <v>-15.983399076839023</v>
      </c>
      <c r="AA15">
        <v>-18.542902315203971</v>
      </c>
      <c r="AB15">
        <v>-14.669382143975101</v>
      </c>
    </row>
    <row r="16" spans="1:31" x14ac:dyDescent="0.25">
      <c r="A16" t="s">
        <v>23</v>
      </c>
      <c r="B16" s="13" t="s">
        <v>23</v>
      </c>
      <c r="D16">
        <v>15.281987000000001</v>
      </c>
      <c r="E16">
        <v>14.838406000000001</v>
      </c>
      <c r="F16">
        <v>16.168668</v>
      </c>
      <c r="G16">
        <v>17.208355999999998</v>
      </c>
      <c r="H16" s="2">
        <f t="shared" ref="H16:H42" si="2">E16</f>
        <v>14.838406000000001</v>
      </c>
      <c r="I16" t="s">
        <v>23</v>
      </c>
      <c r="J16" s="13" t="s">
        <v>23</v>
      </c>
      <c r="L16">
        <f t="shared" si="0"/>
        <v>-14.953248455319383</v>
      </c>
      <c r="M16">
        <f t="shared" si="0"/>
        <v>-14.756470299779235</v>
      </c>
      <c r="N16">
        <f t="shared" si="0"/>
        <v>-7.624096568366677</v>
      </c>
      <c r="O16">
        <f t="shared" si="0"/>
        <v>-9.6610632800975758</v>
      </c>
      <c r="Q16" t="s">
        <v>23</v>
      </c>
      <c r="R16" s="13" t="s">
        <v>23</v>
      </c>
      <c r="S16">
        <f t="shared" si="1"/>
        <v>-15.224237411803584</v>
      </c>
    </row>
    <row r="17" spans="1:31" x14ac:dyDescent="0.25">
      <c r="A17" t="s">
        <v>23</v>
      </c>
      <c r="B17" s="13" t="s">
        <v>18</v>
      </c>
      <c r="D17">
        <v>14.520813</v>
      </c>
      <c r="E17">
        <v>14.375244</v>
      </c>
      <c r="F17">
        <v>15.989204000000001</v>
      </c>
      <c r="G17">
        <v>17.618579</v>
      </c>
      <c r="H17" s="2">
        <f t="shared" si="2"/>
        <v>14.375244</v>
      </c>
      <c r="I17" t="s">
        <v>23</v>
      </c>
      <c r="J17" s="13" t="s">
        <v>18</v>
      </c>
      <c r="L17">
        <f t="shared" si="0"/>
        <v>-19.189305982411295</v>
      </c>
      <c r="M17">
        <f t="shared" si="0"/>
        <v>-17.417238828623486</v>
      </c>
      <c r="N17">
        <f t="shared" si="0"/>
        <v>-8.6494221631191071</v>
      </c>
      <c r="O17">
        <f t="shared" si="0"/>
        <v>-7.5075101087168399</v>
      </c>
      <c r="Q17" t="s">
        <v>23</v>
      </c>
      <c r="R17" s="13" t="s">
        <v>18</v>
      </c>
      <c r="S17">
        <f t="shared" si="1"/>
        <v>-17.870405184263394</v>
      </c>
    </row>
    <row r="18" spans="1:31" x14ac:dyDescent="0.25">
      <c r="A18" t="s">
        <v>23</v>
      </c>
      <c r="B18" s="13" t="s">
        <v>31</v>
      </c>
      <c r="D18">
        <v>14.2675</v>
      </c>
      <c r="E18">
        <v>14.705529</v>
      </c>
      <c r="F18">
        <v>16.976647</v>
      </c>
      <c r="G18">
        <v>18.947458000000001</v>
      </c>
      <c r="H18" s="2">
        <f t="shared" si="2"/>
        <v>14.705529</v>
      </c>
      <c r="I18" t="s">
        <v>23</v>
      </c>
      <c r="J18" s="13" t="s">
        <v>31</v>
      </c>
      <c r="L18">
        <f t="shared" si="0"/>
        <v>-20.599034165928117</v>
      </c>
      <c r="M18">
        <f t="shared" si="0"/>
        <v>-15.519820790120061</v>
      </c>
      <c r="N18">
        <f t="shared" si="0"/>
        <v>-3.0078975049195442</v>
      </c>
      <c r="O18">
        <f t="shared" si="0"/>
        <v>-0.53127624364528581</v>
      </c>
      <c r="Q18" t="s">
        <v>23</v>
      </c>
      <c r="R18" s="13" t="s">
        <v>31</v>
      </c>
      <c r="S18">
        <f t="shared" si="1"/>
        <v>-15.983399076839023</v>
      </c>
    </row>
    <row r="19" spans="1:31" s="2" customFormat="1" x14ac:dyDescent="0.25">
      <c r="A19"/>
      <c r="B19" s="13"/>
      <c r="C19"/>
      <c r="D19"/>
      <c r="E19"/>
      <c r="F19"/>
      <c r="G19"/>
      <c r="I19"/>
      <c r="J19" s="13"/>
      <c r="K19"/>
      <c r="L19"/>
      <c r="M19"/>
      <c r="N19"/>
      <c r="O19"/>
      <c r="Q19"/>
      <c r="R19" s="13"/>
      <c r="S19"/>
      <c r="U19"/>
      <c r="V19"/>
      <c r="W19"/>
      <c r="X19"/>
      <c r="Y19"/>
      <c r="Z19"/>
      <c r="AA19"/>
      <c r="AB19"/>
      <c r="AC19"/>
      <c r="AD19"/>
      <c r="AE19"/>
    </row>
    <row r="20" spans="1:31" s="2" customFormat="1" x14ac:dyDescent="0.25">
      <c r="A20" t="s">
        <v>20</v>
      </c>
      <c r="B20" s="13" t="s">
        <v>30</v>
      </c>
      <c r="C20"/>
      <c r="D20">
        <v>16.494669999999999</v>
      </c>
      <c r="E20">
        <v>16.330767000000002</v>
      </c>
      <c r="F20">
        <v>17.611142000000001</v>
      </c>
      <c r="G20">
        <v>18.241536</v>
      </c>
      <c r="H20" s="2">
        <f t="shared" si="2"/>
        <v>16.330767000000002</v>
      </c>
      <c r="I20" t="s">
        <v>20</v>
      </c>
      <c r="J20" s="13" t="s">
        <v>30</v>
      </c>
      <c r="K20"/>
      <c r="L20">
        <f t="shared" si="0"/>
        <v>-8.2044696608172138</v>
      </c>
      <c r="M20">
        <f t="shared" si="0"/>
        <v>-6.1831694191488467</v>
      </c>
      <c r="N20">
        <f t="shared" si="0"/>
        <v>0.61714129529914363</v>
      </c>
      <c r="O20">
        <f t="shared" si="0"/>
        <v>-4.2371644114160514</v>
      </c>
      <c r="Q20" t="s">
        <v>20</v>
      </c>
      <c r="R20" s="13" t="s">
        <v>30</v>
      </c>
      <c r="S20">
        <f t="shared" si="1"/>
        <v>-6.6979818401550233</v>
      </c>
      <c r="U20"/>
      <c r="V20"/>
      <c r="W20"/>
      <c r="X20"/>
      <c r="Y20"/>
      <c r="Z20"/>
      <c r="AA20"/>
      <c r="AB20"/>
      <c r="AC20"/>
      <c r="AD20"/>
      <c r="AE20"/>
    </row>
    <row r="21" spans="1:31" s="2" customFormat="1" x14ac:dyDescent="0.25">
      <c r="A21" t="s">
        <v>20</v>
      </c>
      <c r="B21" s="13" t="s">
        <v>17</v>
      </c>
      <c r="C21"/>
      <c r="D21">
        <v>15.947742</v>
      </c>
      <c r="E21">
        <v>15.586573</v>
      </c>
      <c r="F21">
        <v>16.822281</v>
      </c>
      <c r="G21">
        <v>17.514571</v>
      </c>
      <c r="H21" s="2">
        <f t="shared" si="2"/>
        <v>15.586573</v>
      </c>
      <c r="I21" t="s">
        <v>20</v>
      </c>
      <c r="J21" s="13" t="s">
        <v>17</v>
      </c>
      <c r="K21"/>
      <c r="L21">
        <f t="shared" si="0"/>
        <v>-11.248213234792837</v>
      </c>
      <c r="M21">
        <f t="shared" si="0"/>
        <v>-10.458407833687867</v>
      </c>
      <c r="N21">
        <f t="shared" si="0"/>
        <v>-3.8898315460617998</v>
      </c>
      <c r="O21">
        <f t="shared" si="0"/>
        <v>-8.0535222978163468</v>
      </c>
      <c r="Q21" t="s">
        <v>20</v>
      </c>
      <c r="R21" s="13" t="s">
        <v>17</v>
      </c>
      <c r="S21">
        <f t="shared" si="1"/>
        <v>-10.949760222789951</v>
      </c>
      <c r="U21"/>
      <c r="V21"/>
      <c r="W21"/>
      <c r="X21"/>
      <c r="Y21"/>
      <c r="Z21"/>
      <c r="AA21"/>
      <c r="AB21"/>
      <c r="AC21"/>
      <c r="AD21"/>
      <c r="AE21"/>
    </row>
    <row r="22" spans="1:31" s="2" customFormat="1" x14ac:dyDescent="0.25">
      <c r="A22" t="s">
        <v>21</v>
      </c>
      <c r="B22" s="13" t="s">
        <v>23</v>
      </c>
      <c r="C22"/>
      <c r="D22">
        <v>14.824420999999999</v>
      </c>
      <c r="E22">
        <v>14.541993</v>
      </c>
      <c r="F22">
        <v>16.129128999999999</v>
      </c>
      <c r="G22">
        <v>17.346247999999999</v>
      </c>
      <c r="H22" s="2">
        <f t="shared" si="2"/>
        <v>14.541993</v>
      </c>
      <c r="I22" t="s">
        <v>21</v>
      </c>
      <c r="J22" s="13" t="s">
        <v>23</v>
      </c>
      <c r="K22"/>
      <c r="L22">
        <f t="shared" si="0"/>
        <v>-17.499677916180293</v>
      </c>
      <c r="M22">
        <f t="shared" si="0"/>
        <v>-16.459300803879987</v>
      </c>
      <c r="N22">
        <f t="shared" si="0"/>
        <v>-7.8499933983209731</v>
      </c>
      <c r="O22">
        <f t="shared" si="0"/>
        <v>-8.9371698028716953</v>
      </c>
      <c r="Q22" t="s">
        <v>21</v>
      </c>
      <c r="R22" s="13" t="s">
        <v>23</v>
      </c>
      <c r="S22">
        <f t="shared" si="1"/>
        <v>-16.917723768495481</v>
      </c>
      <c r="U22"/>
      <c r="V22"/>
      <c r="W22"/>
      <c r="X22"/>
      <c r="Y22"/>
      <c r="Z22"/>
      <c r="AA22"/>
      <c r="AB22"/>
      <c r="AC22"/>
      <c r="AD22"/>
      <c r="AE22"/>
    </row>
    <row r="23" spans="1:31" s="2" customFormat="1" x14ac:dyDescent="0.25">
      <c r="A23" t="s">
        <v>20</v>
      </c>
      <c r="B23" s="13" t="s">
        <v>18</v>
      </c>
      <c r="C23"/>
      <c r="D23">
        <v>14.545802999999999</v>
      </c>
      <c r="E23">
        <v>14.961633000000001</v>
      </c>
      <c r="F23">
        <v>17.169218000000001</v>
      </c>
      <c r="G23">
        <v>18.960162</v>
      </c>
      <c r="H23" s="2">
        <f t="shared" si="2"/>
        <v>14.961633000000001</v>
      </c>
      <c r="I23" t="s">
        <v>20</v>
      </c>
      <c r="J23" s="13" t="s">
        <v>18</v>
      </c>
      <c r="K23"/>
      <c r="L23">
        <f t="shared" si="0"/>
        <v>-19.050232554256858</v>
      </c>
      <c r="M23">
        <f t="shared" si="0"/>
        <v>-14.048557035081592</v>
      </c>
      <c r="N23">
        <f t="shared" si="0"/>
        <v>-1.9076881308552647</v>
      </c>
      <c r="O23">
        <f t="shared" si="0"/>
        <v>-0.46458388488134661</v>
      </c>
      <c r="Q23" t="s">
        <v>20</v>
      </c>
      <c r="R23" s="13" t="s">
        <v>18</v>
      </c>
      <c r="S23">
        <f t="shared" si="1"/>
        <v>-14.520208765030093</v>
      </c>
      <c r="U23"/>
      <c r="V23"/>
      <c r="W23"/>
      <c r="X23"/>
      <c r="Y23"/>
      <c r="Z23"/>
      <c r="AA23"/>
      <c r="AB23"/>
      <c r="AC23"/>
      <c r="AD23"/>
      <c r="AE23"/>
    </row>
    <row r="24" spans="1:31" s="2" customFormat="1" x14ac:dyDescent="0.25">
      <c r="A24" t="s">
        <v>20</v>
      </c>
      <c r="B24" s="13" t="s">
        <v>31</v>
      </c>
      <c r="C24"/>
      <c r="D24">
        <v>15.058503</v>
      </c>
      <c r="E24">
        <v>16.667425999999999</v>
      </c>
      <c r="F24">
        <v>19.077895000000002</v>
      </c>
      <c r="G24">
        <v>21.091201999999999</v>
      </c>
      <c r="H24" s="2">
        <f t="shared" si="2"/>
        <v>16.667425999999999</v>
      </c>
      <c r="I24" t="s">
        <v>20</v>
      </c>
      <c r="J24" s="13" t="s">
        <v>31</v>
      </c>
      <c r="K24"/>
      <c r="L24">
        <f t="shared" si="0"/>
        <v>-16.196973385998323</v>
      </c>
      <c r="M24">
        <f t="shared" si="0"/>
        <v>-4.2491340877698303</v>
      </c>
      <c r="N24">
        <f t="shared" si="0"/>
        <v>8.9970915476055495</v>
      </c>
      <c r="O24">
        <f t="shared" si="0"/>
        <v>10.722765313820769</v>
      </c>
      <c r="Q24" t="s">
        <v>20</v>
      </c>
      <c r="R24" s="13" t="s">
        <v>31</v>
      </c>
      <c r="S24">
        <f t="shared" si="1"/>
        <v>-4.7745593743470796</v>
      </c>
      <c r="U24"/>
      <c r="V24"/>
      <c r="W24"/>
      <c r="X24"/>
      <c r="Y24"/>
      <c r="Z24"/>
      <c r="AA24"/>
      <c r="AB24"/>
      <c r="AC24"/>
      <c r="AD24"/>
      <c r="AE24"/>
    </row>
    <row r="26" spans="1:31" x14ac:dyDescent="0.25">
      <c r="A26" t="s">
        <v>22</v>
      </c>
      <c r="B26" s="13" t="s">
        <v>30</v>
      </c>
      <c r="D26">
        <v>16.965085999999999</v>
      </c>
      <c r="E26">
        <v>16.774837999999999</v>
      </c>
      <c r="F26">
        <v>17.270606000000001</v>
      </c>
      <c r="G26">
        <v>18.575379999999999</v>
      </c>
      <c r="H26" s="2">
        <f t="shared" si="2"/>
        <v>16.774837999999999</v>
      </c>
      <c r="I26" t="s">
        <v>22</v>
      </c>
      <c r="J26" s="13" t="s">
        <v>30</v>
      </c>
      <c r="L26">
        <f t="shared" si="0"/>
        <v>-5.5865278529461246</v>
      </c>
      <c r="M26">
        <f t="shared" si="0"/>
        <v>-3.6320746804345596</v>
      </c>
      <c r="N26">
        <f t="shared" si="0"/>
        <v>-1.3284315033379921</v>
      </c>
      <c r="O26">
        <f t="shared" si="0"/>
        <v>-2.4845790981926945</v>
      </c>
      <c r="Q26" t="s">
        <v>22</v>
      </c>
      <c r="R26" s="13" t="s">
        <v>30</v>
      </c>
      <c r="S26">
        <f t="shared" si="1"/>
        <v>-4.1608860315956164</v>
      </c>
    </row>
    <row r="27" spans="1:31" s="2" customFormat="1" x14ac:dyDescent="0.25">
      <c r="A27" t="s">
        <v>22</v>
      </c>
      <c r="B27" s="13" t="s">
        <v>17</v>
      </c>
      <c r="C27"/>
      <c r="D27">
        <v>16.642357000000001</v>
      </c>
      <c r="E27">
        <v>16.339500000000001</v>
      </c>
      <c r="F27">
        <v>17.728614</v>
      </c>
      <c r="G27">
        <v>18.130882</v>
      </c>
      <c r="H27" s="2">
        <f t="shared" si="2"/>
        <v>16.339500000000001</v>
      </c>
      <c r="I27" t="s">
        <v>22</v>
      </c>
      <c r="J27" s="13" t="s">
        <v>17</v>
      </c>
      <c r="K27"/>
      <c r="L27">
        <f t="shared" si="0"/>
        <v>-7.3825674045609206</v>
      </c>
      <c r="M27">
        <f t="shared" si="0"/>
        <v>-6.1330001661393272</v>
      </c>
      <c r="N27">
        <f t="shared" si="0"/>
        <v>1.288290095430408</v>
      </c>
      <c r="O27">
        <f t="shared" si="0"/>
        <v>-4.8180661956308883</v>
      </c>
      <c r="Q27" t="s">
        <v>22</v>
      </c>
      <c r="R27" s="13" t="s">
        <v>17</v>
      </c>
      <c r="S27">
        <f t="shared" si="1"/>
        <v>-6.6480878869445048</v>
      </c>
      <c r="U27"/>
      <c r="V27"/>
      <c r="W27"/>
      <c r="X27"/>
      <c r="Y27"/>
      <c r="Z27"/>
      <c r="AA27"/>
      <c r="AB27"/>
      <c r="AC27"/>
      <c r="AD27"/>
      <c r="AE27"/>
    </row>
    <row r="28" spans="1:31" s="2" customFormat="1" x14ac:dyDescent="0.25">
      <c r="A28" t="s">
        <v>22</v>
      </c>
      <c r="B28" s="13" t="s">
        <v>23</v>
      </c>
      <c r="C28"/>
      <c r="D28">
        <v>15.954845000000001</v>
      </c>
      <c r="E28">
        <v>15.405623</v>
      </c>
      <c r="F28">
        <v>16.527564000000002</v>
      </c>
      <c r="G28">
        <v>17.334009999999999</v>
      </c>
      <c r="H28" s="2">
        <f t="shared" si="2"/>
        <v>15.405623</v>
      </c>
      <c r="I28" t="s">
        <v>22</v>
      </c>
      <c r="J28" s="13" t="s">
        <v>23</v>
      </c>
      <c r="K28"/>
      <c r="L28">
        <f t="shared" si="0"/>
        <v>-11.208683880643935</v>
      </c>
      <c r="M28">
        <f t="shared" si="0"/>
        <v>-11.497927624375281</v>
      </c>
      <c r="N28">
        <f t="shared" si="0"/>
        <v>-5.573628203378318</v>
      </c>
      <c r="O28">
        <f t="shared" si="0"/>
        <v>-9.0014157952011296</v>
      </c>
      <c r="Q28" t="s">
        <v>22</v>
      </c>
      <c r="R28" s="13" t="s">
        <v>23</v>
      </c>
      <c r="S28">
        <f t="shared" si="1"/>
        <v>-11.983575731028106</v>
      </c>
      <c r="U28"/>
      <c r="V28"/>
      <c r="W28"/>
      <c r="X28"/>
      <c r="Y28"/>
      <c r="Z28"/>
      <c r="AA28"/>
      <c r="AB28"/>
      <c r="AC28"/>
      <c r="AD28"/>
      <c r="AE28"/>
    </row>
    <row r="29" spans="1:31" s="2" customFormat="1" x14ac:dyDescent="0.25">
      <c r="A29" t="s">
        <v>22</v>
      </c>
      <c r="B29" s="13" t="s">
        <v>18</v>
      </c>
      <c r="C29"/>
      <c r="D29">
        <v>15.143200999999999</v>
      </c>
      <c r="E29">
        <v>14.65597</v>
      </c>
      <c r="F29">
        <v>15.960575</v>
      </c>
      <c r="G29">
        <v>16.994731000000002</v>
      </c>
      <c r="H29" s="2">
        <f t="shared" si="2"/>
        <v>14.65597</v>
      </c>
      <c r="I29" t="s">
        <v>22</v>
      </c>
      <c r="J29" s="13" t="s">
        <v>18</v>
      </c>
      <c r="K29"/>
      <c r="L29">
        <f t="shared" si="0"/>
        <v>-15.72561519400854</v>
      </c>
      <c r="M29">
        <f t="shared" si="0"/>
        <v>-15.804526848736685</v>
      </c>
      <c r="N29">
        <f t="shared" si="0"/>
        <v>-8.812987259473628</v>
      </c>
      <c r="O29">
        <f t="shared" si="0"/>
        <v>-10.782533300638113</v>
      </c>
      <c r="Q29" t="s">
        <v>22</v>
      </c>
      <c r="R29" s="13" t="s">
        <v>18</v>
      </c>
      <c r="S29">
        <f t="shared" si="1"/>
        <v>-16.266542833527474</v>
      </c>
      <c r="U29"/>
      <c r="V29"/>
      <c r="W29"/>
      <c r="X29"/>
      <c r="Y29"/>
      <c r="Z29"/>
      <c r="AA29"/>
      <c r="AB29"/>
      <c r="AC29"/>
      <c r="AD29"/>
      <c r="AE29"/>
    </row>
    <row r="30" spans="1:31" s="2" customFormat="1" x14ac:dyDescent="0.25">
      <c r="A30" t="s">
        <v>22</v>
      </c>
      <c r="B30" s="13" t="s">
        <v>31</v>
      </c>
      <c r="C30"/>
      <c r="D30">
        <v>14.546279999999999</v>
      </c>
      <c r="E30">
        <v>14.257536</v>
      </c>
      <c r="F30">
        <v>15.750166</v>
      </c>
      <c r="G30">
        <v>17.394255000000001</v>
      </c>
      <c r="H30" s="2">
        <f t="shared" si="2"/>
        <v>14.257536</v>
      </c>
      <c r="I30" t="s">
        <v>22</v>
      </c>
      <c r="J30" s="13" t="s">
        <v>31</v>
      </c>
      <c r="K30"/>
      <c r="L30">
        <f t="shared" si="0"/>
        <v>-19.047577971414537</v>
      </c>
      <c r="M30">
        <f t="shared" si="0"/>
        <v>-18.093446596085407</v>
      </c>
      <c r="N30">
        <f t="shared" si="0"/>
        <v>-10.015109874963448</v>
      </c>
      <c r="O30">
        <f t="shared" si="0"/>
        <v>-8.6851468126968907</v>
      </c>
      <c r="Q30" t="s">
        <v>22</v>
      </c>
      <c r="R30" s="13" t="s">
        <v>31</v>
      </c>
      <c r="S30">
        <f t="shared" si="1"/>
        <v>-18.542902315203971</v>
      </c>
      <c r="U30"/>
      <c r="V30"/>
      <c r="W30"/>
      <c r="X30"/>
      <c r="Y30"/>
      <c r="Z30"/>
      <c r="AA30"/>
      <c r="AB30"/>
      <c r="AC30"/>
      <c r="AD30"/>
      <c r="AE30"/>
    </row>
    <row r="31" spans="1:31" s="2" customFormat="1" x14ac:dyDescent="0.25">
      <c r="A31"/>
      <c r="B31"/>
      <c r="C31"/>
      <c r="D31"/>
      <c r="E31"/>
      <c r="F31"/>
      <c r="G31"/>
      <c r="I31"/>
      <c r="J31"/>
      <c r="K31"/>
      <c r="L31"/>
      <c r="M31"/>
      <c r="N31"/>
      <c r="O31"/>
      <c r="Q31"/>
      <c r="R31"/>
      <c r="S31"/>
      <c r="U31"/>
      <c r="V31"/>
      <c r="W31"/>
      <c r="X31"/>
      <c r="Y31"/>
      <c r="Z31"/>
      <c r="AA31"/>
      <c r="AB31"/>
      <c r="AC31"/>
      <c r="AD31"/>
      <c r="AE31"/>
    </row>
    <row r="32" spans="1:31" s="2" customFormat="1" x14ac:dyDescent="0.25">
      <c r="A32" t="s">
        <v>29</v>
      </c>
      <c r="B32" s="13" t="s">
        <v>30</v>
      </c>
      <c r="C32"/>
      <c r="D32">
        <v>16.460082</v>
      </c>
      <c r="E32">
        <v>16.228560999999999</v>
      </c>
      <c r="F32">
        <v>17.519873</v>
      </c>
      <c r="G32">
        <v>18.149108999999999</v>
      </c>
      <c r="H32" s="2">
        <f t="shared" si="2"/>
        <v>16.228560999999999</v>
      </c>
      <c r="I32" t="s">
        <v>29</v>
      </c>
      <c r="J32" s="13" t="s">
        <v>30</v>
      </c>
      <c r="K32"/>
      <c r="L32">
        <f t="shared" si="0"/>
        <v>-8.3969575252832254</v>
      </c>
      <c r="M32">
        <f t="shared" si="0"/>
        <v>-6.7703214485879233</v>
      </c>
      <c r="N32">
        <f t="shared" si="0"/>
        <v>9.5697207864001294E-2</v>
      </c>
      <c r="O32">
        <f t="shared" si="0"/>
        <v>-4.7223796698759815</v>
      </c>
      <c r="Q32" t="s">
        <v>29</v>
      </c>
      <c r="R32" s="13" t="s">
        <v>30</v>
      </c>
      <c r="S32">
        <f t="shared" si="1"/>
        <v>-7.2819119193757569</v>
      </c>
      <c r="U32"/>
      <c r="V32"/>
      <c r="W32"/>
      <c r="X32"/>
      <c r="Y32"/>
      <c r="Z32"/>
      <c r="AA32"/>
      <c r="AB32"/>
      <c r="AC32"/>
      <c r="AD32"/>
      <c r="AE32"/>
    </row>
    <row r="33" spans="1:31" s="2" customFormat="1" x14ac:dyDescent="0.25">
      <c r="A33" t="s">
        <v>29</v>
      </c>
      <c r="B33" s="13" t="s">
        <v>17</v>
      </c>
      <c r="C33"/>
      <c r="D33">
        <v>15.796882999999999</v>
      </c>
      <c r="E33">
        <v>15.420456</v>
      </c>
      <c r="F33">
        <v>16.795797</v>
      </c>
      <c r="G33">
        <v>17.482925000000002</v>
      </c>
      <c r="H33" s="2">
        <f t="shared" si="2"/>
        <v>15.420456</v>
      </c>
      <c r="I33" t="s">
        <v>29</v>
      </c>
      <c r="J33" s="13" t="s">
        <v>17</v>
      </c>
      <c r="K33"/>
      <c r="L33">
        <f t="shared" si="0"/>
        <v>-12.08776818869242</v>
      </c>
      <c r="M33">
        <f t="shared" si="0"/>
        <v>-11.412715151011005</v>
      </c>
      <c r="N33">
        <f t="shared" si="0"/>
        <v>-4.041141686543587</v>
      </c>
      <c r="O33">
        <f t="shared" si="0"/>
        <v>-8.2196547274010161</v>
      </c>
      <c r="Q33" t="s">
        <v>29</v>
      </c>
      <c r="R33" s="13" t="s">
        <v>17</v>
      </c>
      <c r="S33">
        <f t="shared" si="1"/>
        <v>-11.898830854356673</v>
      </c>
      <c r="U33"/>
      <c r="V33"/>
      <c r="W33"/>
      <c r="X33"/>
      <c r="Y33"/>
      <c r="Z33"/>
      <c r="AA33"/>
      <c r="AB33"/>
      <c r="AC33"/>
      <c r="AD33"/>
      <c r="AE33"/>
    </row>
    <row r="34" spans="1:31" s="2" customFormat="1" x14ac:dyDescent="0.25">
      <c r="A34" t="s">
        <v>29</v>
      </c>
      <c r="B34" s="13" t="s">
        <v>23</v>
      </c>
      <c r="C34"/>
      <c r="D34">
        <v>14.688983</v>
      </c>
      <c r="E34">
        <v>14.634539</v>
      </c>
      <c r="F34">
        <v>16.389741999999998</v>
      </c>
      <c r="G34">
        <v>17.739014000000001</v>
      </c>
      <c r="H34" s="2">
        <f t="shared" si="2"/>
        <v>14.634539</v>
      </c>
      <c r="I34" t="s">
        <v>29</v>
      </c>
      <c r="J34" s="13" t="s">
        <v>23</v>
      </c>
      <c r="K34"/>
      <c r="L34">
        <f t="shared" si="0"/>
        <v>-18.253412488504452</v>
      </c>
      <c r="M34">
        <f t="shared" si="0"/>
        <v>-15.927643447986323</v>
      </c>
      <c r="N34">
        <f t="shared" si="0"/>
        <v>-6.3610419694816773</v>
      </c>
      <c r="O34">
        <f t="shared" si="0"/>
        <v>-6.8752608779442141</v>
      </c>
      <c r="Q34" t="s">
        <v>29</v>
      </c>
      <c r="R34" s="13" t="s">
        <v>23</v>
      </c>
      <c r="S34">
        <f t="shared" si="1"/>
        <v>-16.388983840198108</v>
      </c>
      <c r="U34"/>
      <c r="V34"/>
      <c r="W34"/>
      <c r="X34"/>
      <c r="Y34"/>
      <c r="Z34"/>
      <c r="AA34"/>
      <c r="AB34"/>
      <c r="AC34"/>
      <c r="AD34"/>
      <c r="AE34"/>
    </row>
    <row r="35" spans="1:31" s="2" customFormat="1" x14ac:dyDescent="0.25">
      <c r="A35" t="s">
        <v>29</v>
      </c>
      <c r="B35" s="13" t="s">
        <v>18</v>
      </c>
      <c r="C35"/>
      <c r="D35">
        <v>14.810362</v>
      </c>
      <c r="E35">
        <v>15.617348</v>
      </c>
      <c r="F35">
        <v>17.969024000000001</v>
      </c>
      <c r="G35">
        <v>19.973462999999999</v>
      </c>
      <c r="H35" s="2">
        <f t="shared" si="2"/>
        <v>15.617348</v>
      </c>
      <c r="I35" t="s">
        <v>29</v>
      </c>
      <c r="J35" s="13" t="s">
        <v>18</v>
      </c>
      <c r="K35"/>
      <c r="L35">
        <f t="shared" si="0"/>
        <v>-17.577918545488945</v>
      </c>
      <c r="M35">
        <f t="shared" si="0"/>
        <v>-10.281611914603005</v>
      </c>
      <c r="N35">
        <f t="shared" si="0"/>
        <v>2.661816408420385</v>
      </c>
      <c r="O35">
        <f t="shared" si="0"/>
        <v>4.8549559315435173</v>
      </c>
      <c r="Q35" t="s">
        <v>29</v>
      </c>
      <c r="R35" s="13" t="s">
        <v>18</v>
      </c>
      <c r="S35">
        <f t="shared" si="1"/>
        <v>-10.773934457296559</v>
      </c>
      <c r="U35"/>
      <c r="V35"/>
      <c r="W35"/>
      <c r="X35"/>
      <c r="Y35"/>
      <c r="Z35"/>
      <c r="AA35"/>
      <c r="AB35"/>
      <c r="AC35"/>
      <c r="AD35"/>
      <c r="AE35"/>
    </row>
    <row r="36" spans="1:31" x14ac:dyDescent="0.25">
      <c r="A36" t="s">
        <v>29</v>
      </c>
      <c r="B36" s="13" t="s">
        <v>31</v>
      </c>
      <c r="D36">
        <v>16.118039</v>
      </c>
      <c r="E36">
        <v>17.933126999999999</v>
      </c>
      <c r="F36">
        <v>20.352262</v>
      </c>
      <c r="G36">
        <v>22.391477999999999</v>
      </c>
      <c r="H36" s="2">
        <f t="shared" si="2"/>
        <v>17.933126999999999</v>
      </c>
      <c r="I36" t="s">
        <v>29</v>
      </c>
      <c r="J36" s="13" t="s">
        <v>31</v>
      </c>
      <c r="L36">
        <f t="shared" si="0"/>
        <v>-10.300482638777774</v>
      </c>
      <c r="M36">
        <f t="shared" si="0"/>
        <v>3.02205264112134</v>
      </c>
      <c r="N36">
        <f t="shared" si="0"/>
        <v>16.277889380083778</v>
      </c>
      <c r="O36">
        <f t="shared" si="0"/>
        <v>17.548841627119256</v>
      </c>
      <c r="Q36" t="s">
        <v>29</v>
      </c>
      <c r="R36" s="13" t="s">
        <v>31</v>
      </c>
      <c r="S36">
        <f t="shared" si="1"/>
        <v>2.4567272937520941</v>
      </c>
    </row>
    <row r="38" spans="1:31" x14ac:dyDescent="0.25">
      <c r="A38" t="s">
        <v>32</v>
      </c>
      <c r="B38" s="13" t="s">
        <v>30</v>
      </c>
      <c r="H38" s="2">
        <f t="shared" si="2"/>
        <v>0</v>
      </c>
      <c r="I38" t="s">
        <v>32</v>
      </c>
      <c r="J38" s="13" t="s">
        <v>30</v>
      </c>
      <c r="L38">
        <f t="shared" si="0"/>
        <v>-100</v>
      </c>
      <c r="M38">
        <f t="shared" si="0"/>
        <v>-100</v>
      </c>
      <c r="N38">
        <f t="shared" si="0"/>
        <v>-100</v>
      </c>
      <c r="O38">
        <f t="shared" si="0"/>
        <v>-100</v>
      </c>
      <c r="Q38" t="s">
        <v>32</v>
      </c>
      <c r="R38" s="13" t="s">
        <v>30</v>
      </c>
      <c r="S38">
        <f t="shared" si="1"/>
        <v>-100</v>
      </c>
    </row>
    <row r="39" spans="1:31" x14ac:dyDescent="0.25">
      <c r="A39" t="s">
        <v>32</v>
      </c>
      <c r="B39" s="13" t="s">
        <v>17</v>
      </c>
      <c r="H39" s="2">
        <f t="shared" si="2"/>
        <v>0</v>
      </c>
      <c r="I39" t="s">
        <v>32</v>
      </c>
      <c r="J39" s="13" t="s">
        <v>17</v>
      </c>
      <c r="L39">
        <f t="shared" si="0"/>
        <v>-100</v>
      </c>
      <c r="M39">
        <f t="shared" si="0"/>
        <v>-100</v>
      </c>
      <c r="N39">
        <f t="shared" si="0"/>
        <v>-100</v>
      </c>
      <c r="O39">
        <f t="shared" si="0"/>
        <v>-100</v>
      </c>
      <c r="Q39" t="s">
        <v>32</v>
      </c>
      <c r="R39" s="13" t="s">
        <v>17</v>
      </c>
      <c r="S39">
        <f t="shared" si="1"/>
        <v>-100</v>
      </c>
    </row>
    <row r="40" spans="1:31" x14ac:dyDescent="0.25">
      <c r="A40" t="s">
        <v>32</v>
      </c>
      <c r="B40" s="13" t="s">
        <v>23</v>
      </c>
      <c r="H40" s="2">
        <f t="shared" si="2"/>
        <v>0</v>
      </c>
      <c r="I40" t="s">
        <v>32</v>
      </c>
      <c r="J40" s="13" t="s">
        <v>23</v>
      </c>
      <c r="L40">
        <f t="shared" si="0"/>
        <v>-100</v>
      </c>
      <c r="M40">
        <f t="shared" si="0"/>
        <v>-100</v>
      </c>
      <c r="N40">
        <f t="shared" si="0"/>
        <v>-100</v>
      </c>
      <c r="O40">
        <f t="shared" si="0"/>
        <v>-100</v>
      </c>
      <c r="Q40" t="s">
        <v>32</v>
      </c>
      <c r="R40" s="13" t="s">
        <v>23</v>
      </c>
      <c r="S40">
        <f t="shared" si="1"/>
        <v>-100</v>
      </c>
    </row>
    <row r="41" spans="1:31" x14ac:dyDescent="0.25">
      <c r="A41" t="s">
        <v>32</v>
      </c>
      <c r="B41" s="13" t="s">
        <v>18</v>
      </c>
      <c r="H41" s="2">
        <f t="shared" si="2"/>
        <v>0</v>
      </c>
      <c r="I41" t="s">
        <v>32</v>
      </c>
      <c r="J41" s="13" t="s">
        <v>18</v>
      </c>
      <c r="L41">
        <f t="shared" si="0"/>
        <v>-100</v>
      </c>
      <c r="M41">
        <f t="shared" si="0"/>
        <v>-100</v>
      </c>
      <c r="N41">
        <f t="shared" si="0"/>
        <v>-100</v>
      </c>
      <c r="O41">
        <f t="shared" si="0"/>
        <v>-100</v>
      </c>
      <c r="Q41" t="s">
        <v>32</v>
      </c>
      <c r="R41" s="13" t="s">
        <v>18</v>
      </c>
      <c r="S41">
        <f t="shared" si="1"/>
        <v>-100</v>
      </c>
    </row>
    <row r="42" spans="1:31" x14ac:dyDescent="0.25">
      <c r="A42" t="s">
        <v>32</v>
      </c>
      <c r="B42" s="13" t="s">
        <v>31</v>
      </c>
      <c r="D42">
        <v>15.546004</v>
      </c>
      <c r="E42">
        <v>14.935523</v>
      </c>
      <c r="F42">
        <v>15.983874</v>
      </c>
      <c r="G42">
        <v>17.047042000000001</v>
      </c>
      <c r="H42" s="2">
        <f t="shared" si="2"/>
        <v>14.935523</v>
      </c>
      <c r="I42" t="s">
        <v>32</v>
      </c>
      <c r="J42" s="13" t="s">
        <v>31</v>
      </c>
      <c r="L42">
        <f t="shared" si="0"/>
        <v>-13.483950765001239</v>
      </c>
      <c r="M42">
        <f t="shared" si="0"/>
        <v>-14.198553507780401</v>
      </c>
      <c r="N42">
        <f t="shared" si="0"/>
        <v>-8.6798738716513544</v>
      </c>
      <c r="O42">
        <f t="shared" si="0"/>
        <v>-10.507915544081079</v>
      </c>
      <c r="Q42" t="s">
        <v>32</v>
      </c>
      <c r="R42" s="13" t="s">
        <v>31</v>
      </c>
      <c r="S42">
        <f t="shared" si="1"/>
        <v>-14.669382143975101</v>
      </c>
    </row>
    <row r="45" spans="1:31" x14ac:dyDescent="0.25">
      <c r="H45" s="2">
        <f t="shared" ref="H45:H51" si="3">E45</f>
        <v>0</v>
      </c>
    </row>
    <row r="46" spans="1:31" x14ac:dyDescent="0.25">
      <c r="H46" s="2">
        <f t="shared" si="3"/>
        <v>0</v>
      </c>
    </row>
    <row r="47" spans="1:31" x14ac:dyDescent="0.25">
      <c r="H47" s="2">
        <f t="shared" si="3"/>
        <v>0</v>
      </c>
    </row>
    <row r="48" spans="1:31" x14ac:dyDescent="0.25">
      <c r="H48" s="2">
        <f t="shared" si="3"/>
        <v>0</v>
      </c>
    </row>
    <row r="49" spans="8:8" x14ac:dyDescent="0.25">
      <c r="H49" s="2">
        <f t="shared" si="3"/>
        <v>0</v>
      </c>
    </row>
    <row r="50" spans="8:8" x14ac:dyDescent="0.25">
      <c r="H50" s="2">
        <f t="shared" si="3"/>
        <v>0</v>
      </c>
    </row>
    <row r="51" spans="8:8" x14ac:dyDescent="0.25">
      <c r="H51" s="2">
        <f t="shared" si="3"/>
        <v>0</v>
      </c>
    </row>
  </sheetData>
  <mergeCells count="3">
    <mergeCell ref="V9:W10"/>
    <mergeCell ref="X9:AA9"/>
    <mergeCell ref="V11:V15"/>
  </mergeCells>
  <conditionalFormatting sqref="X11:AB15">
    <cfRule type="colorScale" priority="1">
      <colorScale>
        <cfvo type="min"/>
        <cfvo type="num" val="0"/>
        <cfvo type="max"/>
        <color rgb="FF63BE7B"/>
        <color rgb="FFFCFCFF"/>
        <color rgb="FFF8696B"/>
      </colorScale>
    </cfRule>
  </conditionalFormatting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D4CED-6B1D-4BB0-B6AA-61D1E9E80EF6}">
  <dimension ref="A1:AA15"/>
  <sheetViews>
    <sheetView zoomScaleNormal="100" workbookViewId="0">
      <selection activeCell="D12" sqref="D12"/>
    </sheetView>
  </sheetViews>
  <sheetFormatPr defaultColWidth="8.5703125" defaultRowHeight="15" x14ac:dyDescent="0.25"/>
  <cols>
    <col min="1" max="1" width="18.85546875" customWidth="1"/>
    <col min="2" max="2" width="8.7109375" customWidth="1"/>
    <col min="3" max="5" width="18.28515625" bestFit="1" customWidth="1"/>
    <col min="6" max="6" width="16.5703125" customWidth="1"/>
    <col min="8" max="8" width="10.5703125" bestFit="1" customWidth="1"/>
    <col min="9" max="9" width="14.42578125" customWidth="1"/>
    <col min="10" max="10" width="10" bestFit="1" customWidth="1"/>
    <col min="16" max="16" width="8.85546875" customWidth="1"/>
    <col min="17" max="18" width="11.5703125" customWidth="1"/>
    <col min="20" max="20" width="8.85546875" customWidth="1"/>
    <col min="22" max="22" width="18.28515625" customWidth="1"/>
  </cols>
  <sheetData>
    <row r="1" spans="1:27" ht="18" x14ac:dyDescent="0.25">
      <c r="A1" s="59" t="str">
        <f>'2.7 grid'!$V$9</f>
        <v>Percent change Natural to Exotendon 2.7 m/s</v>
      </c>
      <c r="B1" s="60"/>
      <c r="C1" s="55" t="str">
        <f>'2.7 grid'!$X$9</f>
        <v>exotendon length (m)</v>
      </c>
      <c r="D1" s="55"/>
      <c r="E1" s="55"/>
      <c r="F1" s="56"/>
    </row>
    <row r="2" spans="1:27" ht="18" x14ac:dyDescent="0.25">
      <c r="A2" s="61"/>
      <c r="B2" s="62"/>
      <c r="C2" s="26" t="str">
        <f>'2.7 grid'!X10</f>
        <v>l=0.0718</v>
      </c>
      <c r="D2" s="26" t="str">
        <f>'2.7 grid'!Y10</f>
        <v>l=0.1435</v>
      </c>
      <c r="E2" s="26" t="str">
        <f>'2.7 grid'!Z10</f>
        <v>l=0.2869</v>
      </c>
      <c r="F2" s="27" t="str">
        <f>'2.7 grid'!AA10</f>
        <v>l=0.4305</v>
      </c>
    </row>
    <row r="3" spans="1:27" ht="18" x14ac:dyDescent="0.25">
      <c r="A3" s="57" t="str">
        <f>'2.7 grid'!$V$11</f>
        <v>exotendon stiffness (N/m)</v>
      </c>
      <c r="B3" s="28">
        <f>'2.7 grid'!W11</f>
        <v>30</v>
      </c>
      <c r="C3" s="34">
        <f>'2.7 grid'!X11</f>
        <v>-1.8756672775427161</v>
      </c>
      <c r="D3" s="35">
        <f>'2.7 grid'!Y11</f>
        <v>-2.4502475232324392</v>
      </c>
      <c r="E3" s="35">
        <f>'2.7 grid'!Z11</f>
        <v>-0.16209416146954794</v>
      </c>
      <c r="F3" s="39">
        <f>'2.7 grid'!AA11</f>
        <v>8.8245124761710453E-2</v>
      </c>
    </row>
    <row r="4" spans="1:27" ht="18" x14ac:dyDescent="0.25">
      <c r="A4" s="57"/>
      <c r="B4" s="28">
        <f>'2.7 grid'!W12</f>
        <v>60</v>
      </c>
      <c r="C4" s="36">
        <f>'2.7 grid'!X12</f>
        <v>-4.0921209271396464</v>
      </c>
      <c r="D4" s="30">
        <f>'2.7 grid'!Y12</f>
        <v>-3.6116109143577537</v>
      </c>
      <c r="E4" s="30">
        <f>'2.7 grid'!Z12</f>
        <v>-2.1836874162750406</v>
      </c>
      <c r="F4" s="40">
        <f>'2.7 grid'!AA12</f>
        <v>-0.82156834018631775</v>
      </c>
    </row>
    <row r="5" spans="1:27" ht="18" x14ac:dyDescent="0.25">
      <c r="A5" s="57"/>
      <c r="B5" s="28">
        <f>'2.7 grid'!W13</f>
        <v>120</v>
      </c>
      <c r="C5" s="36">
        <f>'2.7 grid'!X13</f>
        <v>-5.0363148120042798</v>
      </c>
      <c r="D5" s="30">
        <f>'2.7 grid'!Y13</f>
        <v>-5.8848769138857833</v>
      </c>
      <c r="E5" s="30">
        <f>'2.7 grid'!Z13</f>
        <v>-4.9471924119193611</v>
      </c>
      <c r="F5" s="40">
        <f>'2.7 grid'!AA13</f>
        <v>-1.9417962914063007</v>
      </c>
    </row>
    <row r="6" spans="1:27" ht="18" x14ac:dyDescent="0.25">
      <c r="A6" s="57"/>
      <c r="B6" s="28">
        <f>'2.7 grid'!W14</f>
        <v>180</v>
      </c>
      <c r="C6" s="36">
        <f>'2.7 grid'!X14</f>
        <v>0.86873066156209644</v>
      </c>
      <c r="D6" s="30">
        <f>'2.7 grid'!Y14</f>
        <v>-3.4834585351432059</v>
      </c>
      <c r="E6" s="30">
        <f>'2.7 grid'!Z14</f>
        <v>-6.5935574654814086</v>
      </c>
      <c r="F6" s="40">
        <f>'2.7 grid'!AA14</f>
        <v>-3.746799041664433</v>
      </c>
    </row>
    <row r="7" spans="1:27" ht="18" x14ac:dyDescent="0.25">
      <c r="A7" s="58"/>
      <c r="B7" s="27">
        <f>'2.7 grid'!W15</f>
        <v>240</v>
      </c>
      <c r="C7" s="37">
        <f>'2.7 grid'!X15</f>
        <v>9.5504227151144949</v>
      </c>
      <c r="D7" s="38">
        <f>'2.7 grid'!Y15</f>
        <v>2.8739100950703316</v>
      </c>
      <c r="E7" s="38">
        <f>'2.7 grid'!Z15</f>
        <v>-6.5019962399979692</v>
      </c>
      <c r="F7" s="41">
        <f>'2.7 grid'!AA15</f>
        <v>-5.2690559552519449</v>
      </c>
    </row>
    <row r="9" spans="1:27" x14ac:dyDescent="0.25">
      <c r="X9" s="54"/>
      <c r="Y9" s="54"/>
      <c r="Z9" s="54"/>
      <c r="AA9" s="54"/>
    </row>
    <row r="11" spans="1:27" ht="15" customHeight="1" x14ac:dyDescent="0.25">
      <c r="V11" s="54"/>
    </row>
    <row r="12" spans="1:27" ht="15" customHeight="1" x14ac:dyDescent="0.25">
      <c r="V12" s="54"/>
    </row>
    <row r="13" spans="1:27" x14ac:dyDescent="0.25">
      <c r="V13" s="54"/>
    </row>
    <row r="14" spans="1:27" x14ac:dyDescent="0.25">
      <c r="V14" s="54"/>
    </row>
    <row r="15" spans="1:27" x14ac:dyDescent="0.25">
      <c r="V15" s="54"/>
    </row>
  </sheetData>
  <mergeCells count="5">
    <mergeCell ref="X9:AA9"/>
    <mergeCell ref="V11:V15"/>
    <mergeCell ref="C1:F1"/>
    <mergeCell ref="A3:A7"/>
    <mergeCell ref="A1:B2"/>
  </mergeCells>
  <conditionalFormatting sqref="C3:F7">
    <cfRule type="colorScale" priority="1">
      <colorScale>
        <cfvo type="min"/>
        <cfvo type="num" val="0"/>
        <cfvo type="max"/>
        <color rgb="FF63BE7B"/>
        <color rgb="FFFCFCFF"/>
        <color rgb="FFF8696B"/>
      </colorScale>
    </cfRule>
  </conditionalFormatting>
  <conditionalFormatting sqref="X11:AB15">
    <cfRule type="colorScale" priority="3">
      <colorScale>
        <cfvo type="min"/>
        <cfvo type="num" val="0"/>
        <cfvo type="max"/>
        <color rgb="FF63BE7B"/>
        <color rgb="FFFCFCFF"/>
        <color rgb="FFF8696B"/>
      </colorScale>
    </cfRule>
  </conditionalFormatting>
  <pageMargins left="0.7" right="0.7" top="0.75" bottom="0.75" header="0.511811023622047" footer="0.511811023622047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34B5-B4BF-4CEF-B6C8-7245DEAF55DB}">
  <dimension ref="A1:AA15"/>
  <sheetViews>
    <sheetView zoomScaleNormal="100" workbookViewId="0">
      <selection activeCell="E15" sqref="E15"/>
    </sheetView>
  </sheetViews>
  <sheetFormatPr defaultColWidth="8.5703125" defaultRowHeight="15" x14ac:dyDescent="0.25"/>
  <cols>
    <col min="1" max="1" width="18.85546875" customWidth="1"/>
    <col min="2" max="2" width="18.28515625" customWidth="1"/>
    <col min="3" max="5" width="18.28515625" bestFit="1" customWidth="1"/>
    <col min="6" max="6" width="16.5703125" customWidth="1"/>
    <col min="8" max="8" width="10.5703125" bestFit="1" customWidth="1"/>
    <col min="9" max="9" width="14.42578125" customWidth="1"/>
    <col min="10" max="10" width="10" bestFit="1" customWidth="1"/>
    <col min="16" max="16" width="8.85546875" customWidth="1"/>
    <col min="17" max="18" width="11.5703125" customWidth="1"/>
    <col min="20" max="20" width="8.85546875" customWidth="1"/>
    <col min="22" max="22" width="18.28515625" customWidth="1"/>
  </cols>
  <sheetData>
    <row r="1" spans="1:27" ht="18" x14ac:dyDescent="0.25">
      <c r="A1" s="31" t="s">
        <v>35</v>
      </c>
      <c r="B1" s="29">
        <v>7.1800000000000003E-2</v>
      </c>
      <c r="C1" s="29">
        <v>0.14349999999999999</v>
      </c>
      <c r="D1" s="29">
        <v>0.28689999999999999</v>
      </c>
      <c r="E1" s="29">
        <v>0.43049999999999999</v>
      </c>
      <c r="F1" s="32"/>
    </row>
    <row r="2" spans="1:27" ht="18" x14ac:dyDescent="0.25">
      <c r="A2" s="29">
        <f>'2.7 grid'!W11</f>
        <v>30</v>
      </c>
      <c r="B2" s="30">
        <f>'2.7 grid'!X11</f>
        <v>-1.8756672775427161</v>
      </c>
      <c r="C2" s="30">
        <f>'2.7 grid'!Y11</f>
        <v>-2.4502475232324392</v>
      </c>
      <c r="D2" s="30">
        <f>'2.7 grid'!Z11</f>
        <v>-0.16209416146954794</v>
      </c>
      <c r="E2" s="30">
        <f>'2.7 grid'!AA11</f>
        <v>8.8245124761710453E-2</v>
      </c>
    </row>
    <row r="3" spans="1:27" ht="18" x14ac:dyDescent="0.25">
      <c r="A3" s="29">
        <f>'2.7 grid'!W12</f>
        <v>60</v>
      </c>
      <c r="B3" s="30">
        <f>'2.7 grid'!X12</f>
        <v>-4.0921209271396464</v>
      </c>
      <c r="C3" s="30">
        <f>'2.7 grid'!Y12</f>
        <v>-3.6116109143577537</v>
      </c>
      <c r="D3" s="30">
        <f>'2.7 grid'!Z12</f>
        <v>-2.1836874162750406</v>
      </c>
      <c r="E3" s="30">
        <f>'2.7 grid'!AA12</f>
        <v>-0.82156834018631775</v>
      </c>
    </row>
    <row r="4" spans="1:27" ht="18" x14ac:dyDescent="0.25">
      <c r="A4" s="29">
        <f>'2.7 grid'!W13</f>
        <v>120</v>
      </c>
      <c r="B4" s="30">
        <f>'2.7 grid'!X13</f>
        <v>-5.0363148120042798</v>
      </c>
      <c r="C4" s="30">
        <f>'2.7 grid'!Y13</f>
        <v>-5.8848769138857833</v>
      </c>
      <c r="D4" s="30">
        <f>'2.7 grid'!Z13</f>
        <v>-4.9471924119193611</v>
      </c>
      <c r="E4" s="30">
        <f>'2.7 grid'!AA13</f>
        <v>-1.9417962914063007</v>
      </c>
    </row>
    <row r="5" spans="1:27" ht="18" x14ac:dyDescent="0.25">
      <c r="A5" s="29">
        <f>'2.7 grid'!W14</f>
        <v>180</v>
      </c>
      <c r="B5" s="30">
        <f>'2.7 grid'!X14</f>
        <v>0.86873066156209644</v>
      </c>
      <c r="C5" s="30">
        <f>'2.7 grid'!Y14</f>
        <v>-3.4834585351432059</v>
      </c>
      <c r="D5" s="30">
        <f>'2.7 grid'!Z14</f>
        <v>-6.5935574654814086</v>
      </c>
      <c r="E5" s="30">
        <f>'2.7 grid'!AA14</f>
        <v>-3.746799041664433</v>
      </c>
    </row>
    <row r="6" spans="1:27" ht="18" x14ac:dyDescent="0.25">
      <c r="A6" s="29">
        <f>'2.7 grid'!W15</f>
        <v>240</v>
      </c>
      <c r="B6" s="30">
        <f>'2.7 grid'!X15</f>
        <v>9.5504227151144949</v>
      </c>
      <c r="C6" s="30">
        <f>'2.7 grid'!Y15</f>
        <v>2.8739100950703316</v>
      </c>
      <c r="D6" s="30">
        <f>'2.7 grid'!Z15</f>
        <v>-6.5019962399979692</v>
      </c>
      <c r="E6" s="30">
        <f>'2.7 grid'!AA15</f>
        <v>-5.2690559552519449</v>
      </c>
    </row>
    <row r="7" spans="1:27" ht="18" x14ac:dyDescent="0.25">
      <c r="A7" s="33"/>
    </row>
    <row r="9" spans="1:27" x14ac:dyDescent="0.25">
      <c r="X9" s="54"/>
      <c r="Y9" s="54"/>
      <c r="Z9" s="54"/>
      <c r="AA9" s="54"/>
    </row>
    <row r="11" spans="1:27" ht="15" customHeight="1" x14ac:dyDescent="0.25">
      <c r="V11" s="54"/>
    </row>
    <row r="12" spans="1:27" ht="15" customHeight="1" x14ac:dyDescent="0.25">
      <c r="V12" s="54"/>
    </row>
    <row r="13" spans="1:27" x14ac:dyDescent="0.25">
      <c r="V13" s="54"/>
    </row>
    <row r="14" spans="1:27" x14ac:dyDescent="0.25">
      <c r="V14" s="54"/>
    </row>
    <row r="15" spans="1:27" x14ac:dyDescent="0.25">
      <c r="V15" s="54"/>
    </row>
  </sheetData>
  <mergeCells count="2">
    <mergeCell ref="X9:AA9"/>
    <mergeCell ref="V11:V15"/>
  </mergeCells>
  <conditionalFormatting sqref="B2:E6">
    <cfRule type="colorScale" priority="1">
      <colorScale>
        <cfvo type="min"/>
        <cfvo type="num" val="0"/>
        <cfvo type="max"/>
        <color rgb="FF63BE7B"/>
        <color rgb="FFFCFCFF"/>
        <color rgb="FFF8696B"/>
      </colorScale>
    </cfRule>
  </conditionalFormatting>
  <conditionalFormatting sqref="X11:AB15">
    <cfRule type="colorScale" priority="2">
      <colorScale>
        <cfvo type="min"/>
        <cfvo type="num" val="0"/>
        <cfvo type="max"/>
        <color rgb="FF63BE7B"/>
        <color rgb="FFFCFCFF"/>
        <color rgb="FFF8696B"/>
      </colorScale>
    </cfRule>
  </conditionalFormatting>
  <pageMargins left="0.7" right="0.7" top="0.75" bottom="0.75" header="0.511811023622047" footer="0.511811023622047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58C4C-68B3-4003-9072-51CA95A3AC01}">
  <dimension ref="A1:F12"/>
  <sheetViews>
    <sheetView zoomScaleNormal="100" workbookViewId="0">
      <selection sqref="A1:F7"/>
    </sheetView>
  </sheetViews>
  <sheetFormatPr defaultColWidth="8.5703125" defaultRowHeight="15" x14ac:dyDescent="0.25"/>
  <cols>
    <col min="1" max="1" width="18.28515625" customWidth="1"/>
    <col min="2" max="2" width="10" customWidth="1"/>
    <col min="3" max="6" width="18.28515625" bestFit="1" customWidth="1"/>
    <col min="8" max="8" width="10.5703125" bestFit="1" customWidth="1"/>
    <col min="9" max="9" width="14.42578125" customWidth="1"/>
    <col min="10" max="10" width="10" bestFit="1" customWidth="1"/>
    <col min="16" max="16" width="8.85546875" customWidth="1"/>
    <col min="17" max="18" width="11.5703125" customWidth="1"/>
    <col min="20" max="20" width="8.85546875" customWidth="1"/>
    <col min="22" max="22" width="18.28515625" customWidth="1"/>
  </cols>
  <sheetData>
    <row r="1" spans="1:6" ht="18" x14ac:dyDescent="0.25">
      <c r="A1" s="59" t="str">
        <f>'4 grid'!$V$9</f>
        <v>Percent change Natural to Exotendon 4.0 m/s</v>
      </c>
      <c r="B1" s="60"/>
      <c r="C1" s="55" t="str">
        <f>'4 grid'!$X$9</f>
        <v>exotendon length (m)</v>
      </c>
      <c r="D1" s="55"/>
      <c r="E1" s="55"/>
      <c r="F1" s="56"/>
    </row>
    <row r="2" spans="1:6" ht="18" x14ac:dyDescent="0.25">
      <c r="A2" s="61"/>
      <c r="B2" s="62"/>
      <c r="C2" s="26" t="str">
        <f>'4 grid'!X10</f>
        <v>l=0.0718</v>
      </c>
      <c r="D2" s="26" t="str">
        <f>'4 grid'!Y10</f>
        <v>l=0.1435</v>
      </c>
      <c r="E2" s="26" t="str">
        <f>'4 grid'!Z10</f>
        <v>l=0.2869</v>
      </c>
      <c r="F2" s="27" t="str">
        <f>'4 grid'!AA10</f>
        <v>l=0.4305</v>
      </c>
    </row>
    <row r="3" spans="1:6" ht="18" x14ac:dyDescent="0.25">
      <c r="A3" s="57" t="str">
        <f>'4 grid'!$V$11</f>
        <v>exotendon stiffness (N/m)</v>
      </c>
      <c r="B3" s="28">
        <f>'4 grid'!W11</f>
        <v>30</v>
      </c>
      <c r="C3" s="34">
        <f>'4 grid'!X11</f>
        <v>-7.2819119193757569</v>
      </c>
      <c r="D3" s="35">
        <f>'4 grid'!Y11</f>
        <v>-6.6979818401550233</v>
      </c>
      <c r="E3" s="35">
        <f>'4 grid'!Z11</f>
        <v>-5.2920156020157112</v>
      </c>
      <c r="F3" s="39">
        <f>'4 grid'!AA11</f>
        <v>-4.1608860315956164</v>
      </c>
    </row>
    <row r="4" spans="1:6" ht="18" x14ac:dyDescent="0.25">
      <c r="A4" s="57"/>
      <c r="B4" s="28">
        <f>'4 grid'!W12</f>
        <v>60</v>
      </c>
      <c r="C4" s="36">
        <f>'4 grid'!X12</f>
        <v>-11.898830854356673</v>
      </c>
      <c r="D4" s="30">
        <f>'4 grid'!Y12</f>
        <v>-10.949760222789951</v>
      </c>
      <c r="E4" s="30">
        <f>'4 grid'!Z12</f>
        <v>-8.7608194263389372</v>
      </c>
      <c r="F4" s="40">
        <f>'4 grid'!AA12</f>
        <v>-6.6480878869445048</v>
      </c>
    </row>
    <row r="5" spans="1:6" ht="18" x14ac:dyDescent="0.25">
      <c r="A5" s="57"/>
      <c r="B5" s="28">
        <f>'4 grid'!W13</f>
        <v>120</v>
      </c>
      <c r="C5" s="36">
        <f>'4 grid'!X13</f>
        <v>-16.388983840198108</v>
      </c>
      <c r="D5" s="30">
        <f>'4 grid'!Y13</f>
        <v>-16.917723768495481</v>
      </c>
      <c r="E5" s="30">
        <f>'4 grid'!Z13</f>
        <v>-15.224237411803584</v>
      </c>
      <c r="F5" s="40">
        <f>'4 grid'!AA13</f>
        <v>-11.983575731028106</v>
      </c>
    </row>
    <row r="6" spans="1:6" ht="18" x14ac:dyDescent="0.25">
      <c r="A6" s="57"/>
      <c r="B6" s="28">
        <f>'4 grid'!W14</f>
        <v>180</v>
      </c>
      <c r="C6" s="36">
        <f>'4 grid'!X14</f>
        <v>-10.773934457296559</v>
      </c>
      <c r="D6" s="30">
        <f>'4 grid'!Y14</f>
        <v>-14.520208765030093</v>
      </c>
      <c r="E6" s="30">
        <f>'4 grid'!Z14</f>
        <v>-17.870405184263394</v>
      </c>
      <c r="F6" s="40">
        <f>'4 grid'!AA14</f>
        <v>-16.266542833527474</v>
      </c>
    </row>
    <row r="7" spans="1:6" ht="18" x14ac:dyDescent="0.25">
      <c r="A7" s="58"/>
      <c r="B7" s="27">
        <f>'4 grid'!W15</f>
        <v>240</v>
      </c>
      <c r="C7" s="37">
        <f>'4 grid'!X15</f>
        <v>2.4567272937520941</v>
      </c>
      <c r="D7" s="38">
        <f>'4 grid'!Y15</f>
        <v>-4.7745593743470796</v>
      </c>
      <c r="E7" s="38">
        <f>'4 grid'!Z15</f>
        <v>-15.983399076839023</v>
      </c>
      <c r="F7" s="41">
        <f>'4 grid'!AA15</f>
        <v>-18.542902315203971</v>
      </c>
    </row>
    <row r="11" spans="1:6" ht="15" customHeight="1" x14ac:dyDescent="0.25"/>
    <row r="12" spans="1:6" ht="15" customHeight="1" x14ac:dyDescent="0.25"/>
  </sheetData>
  <mergeCells count="3">
    <mergeCell ref="A1:B2"/>
    <mergeCell ref="C1:F1"/>
    <mergeCell ref="A3:A7"/>
  </mergeCells>
  <conditionalFormatting sqref="C3:F7">
    <cfRule type="colorScale" priority="1">
      <colorScale>
        <cfvo type="min"/>
        <cfvo type="num" val="0"/>
        <cfvo type="max"/>
        <color rgb="FF63BE7B"/>
        <color rgb="FFFCFCFF"/>
        <color rgb="FFF8696B"/>
      </colorScale>
    </cfRule>
  </conditionalFormatting>
  <conditionalFormatting sqref="X11:AB15">
    <cfRule type="colorScale" priority="2">
      <colorScale>
        <cfvo type="min"/>
        <cfvo type="num" val="0"/>
        <cfvo type="max"/>
        <color rgb="FF63BE7B"/>
        <color rgb="FFFCFCFF"/>
        <color rgb="FFF8696B"/>
      </colorScale>
    </cfRule>
  </conditionalFormatting>
  <pageMargins left="0.7" right="0.7" top="0.75" bottom="0.75" header="0.511811023622047" footer="0.511811023622047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3B24D-9568-4B3B-AF2B-6922FFA38F3B}">
  <dimension ref="A1:F12"/>
  <sheetViews>
    <sheetView zoomScaleNormal="100" workbookViewId="0">
      <selection activeCell="B22" sqref="B22"/>
    </sheetView>
  </sheetViews>
  <sheetFormatPr defaultColWidth="8.5703125" defaultRowHeight="15" x14ac:dyDescent="0.25"/>
  <cols>
    <col min="1" max="2" width="18.28515625" customWidth="1"/>
    <col min="3" max="6" width="18.28515625" bestFit="1" customWidth="1"/>
    <col min="8" max="8" width="10.5703125" bestFit="1" customWidth="1"/>
    <col min="9" max="9" width="14.42578125" customWidth="1"/>
    <col min="10" max="10" width="10" bestFit="1" customWidth="1"/>
    <col min="16" max="16" width="8.85546875" customWidth="1"/>
    <col min="17" max="18" width="11.5703125" customWidth="1"/>
    <col min="20" max="20" width="8.85546875" customWidth="1"/>
    <col min="22" max="22" width="18.28515625" customWidth="1"/>
  </cols>
  <sheetData>
    <row r="1" spans="1:6" ht="18" x14ac:dyDescent="0.25">
      <c r="A1" s="31" t="s">
        <v>35</v>
      </c>
      <c r="B1" s="29">
        <v>7.1800000000000003E-2</v>
      </c>
      <c r="C1" s="29">
        <v>0.14349999999999999</v>
      </c>
      <c r="D1" s="29">
        <v>0.28689999999999999</v>
      </c>
      <c r="E1" s="29">
        <v>0.43049999999999999</v>
      </c>
      <c r="F1" s="32"/>
    </row>
    <row r="2" spans="1:6" ht="18" x14ac:dyDescent="0.25">
      <c r="A2" s="29">
        <f>'4 grid'!W11</f>
        <v>30</v>
      </c>
      <c r="B2" s="30">
        <f>'4 grid'!X11</f>
        <v>-7.2819119193757569</v>
      </c>
      <c r="C2" s="30">
        <f>'4 grid'!Y11</f>
        <v>-6.6979818401550233</v>
      </c>
      <c r="D2" s="30">
        <f>'4 grid'!Z11</f>
        <v>-5.2920156020157112</v>
      </c>
      <c r="E2" s="30">
        <f>'4 grid'!AA11</f>
        <v>-4.1608860315956164</v>
      </c>
    </row>
    <row r="3" spans="1:6" ht="18" x14ac:dyDescent="0.25">
      <c r="A3" s="29">
        <f>'4 grid'!W12</f>
        <v>60</v>
      </c>
      <c r="B3" s="30">
        <f>'4 grid'!X12</f>
        <v>-11.898830854356673</v>
      </c>
      <c r="C3" s="30">
        <f>'4 grid'!Y12</f>
        <v>-10.949760222789951</v>
      </c>
      <c r="D3" s="30">
        <f>'4 grid'!Z12</f>
        <v>-8.7608194263389372</v>
      </c>
      <c r="E3" s="30">
        <f>'4 grid'!AA12</f>
        <v>-6.6480878869445048</v>
      </c>
    </row>
    <row r="4" spans="1:6" ht="18" x14ac:dyDescent="0.25">
      <c r="A4" s="29">
        <f>'4 grid'!W13</f>
        <v>120</v>
      </c>
      <c r="B4" s="30">
        <f>'4 grid'!X13</f>
        <v>-16.388983840198108</v>
      </c>
      <c r="C4" s="30">
        <f>'4 grid'!Y13</f>
        <v>-16.917723768495481</v>
      </c>
      <c r="D4" s="30">
        <f>'4 grid'!Z13</f>
        <v>-15.224237411803584</v>
      </c>
      <c r="E4" s="30">
        <f>'4 grid'!AA13</f>
        <v>-11.983575731028106</v>
      </c>
    </row>
    <row r="5" spans="1:6" ht="18" x14ac:dyDescent="0.25">
      <c r="A5" s="29">
        <f>'4 grid'!W14</f>
        <v>180</v>
      </c>
      <c r="B5" s="30">
        <f>'4 grid'!X14</f>
        <v>-10.773934457296559</v>
      </c>
      <c r="C5" s="30">
        <f>'4 grid'!Y14</f>
        <v>-14.520208765030093</v>
      </c>
      <c r="D5" s="30">
        <f>'4 grid'!Z14</f>
        <v>-17.870405184263394</v>
      </c>
      <c r="E5" s="30">
        <f>'4 grid'!AA14</f>
        <v>-16.266542833527474</v>
      </c>
    </row>
    <row r="6" spans="1:6" ht="18" x14ac:dyDescent="0.25">
      <c r="A6" s="29">
        <f>'4 grid'!W15</f>
        <v>240</v>
      </c>
      <c r="B6" s="30">
        <f>'4 grid'!X15</f>
        <v>2.4567272937520941</v>
      </c>
      <c r="C6" s="30">
        <f>'4 grid'!Y15</f>
        <v>-4.7745593743470796</v>
      </c>
      <c r="D6" s="30">
        <f>'4 grid'!Z15</f>
        <v>-15.983399076839023</v>
      </c>
      <c r="E6" s="30">
        <f>'4 grid'!AA15</f>
        <v>-18.542902315203971</v>
      </c>
    </row>
    <row r="7" spans="1:6" ht="18" x14ac:dyDescent="0.25">
      <c r="A7" s="33"/>
    </row>
    <row r="11" spans="1:6" ht="15" customHeight="1" x14ac:dyDescent="0.25"/>
    <row r="12" spans="1:6" ht="15" customHeight="1" x14ac:dyDescent="0.25"/>
  </sheetData>
  <conditionalFormatting sqref="B2:E6">
    <cfRule type="colorScale" priority="1">
      <colorScale>
        <cfvo type="min"/>
        <cfvo type="num" val="0"/>
        <cfvo type="max"/>
        <color rgb="FF63BE7B"/>
        <color rgb="FFFCFCFF"/>
        <color rgb="FFF8696B"/>
      </colorScale>
    </cfRule>
  </conditionalFormatting>
  <conditionalFormatting sqref="X11:AB15">
    <cfRule type="colorScale" priority="2">
      <colorScale>
        <cfvo type="min"/>
        <cfvo type="num" val="0"/>
        <cfvo type="max"/>
        <color rgb="FF63BE7B"/>
        <color rgb="FFFCFCFF"/>
        <color rgb="FFF8696B"/>
      </colorScale>
    </cfRule>
  </conditionalFormatting>
  <pageMargins left="0.7" right="0.7" top="0.75" bottom="0.75" header="0.511811023622047" footer="0.511811023622047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E0DE-996D-4C38-93F1-FA62D9B34416}">
  <dimension ref="A5:AE51"/>
  <sheetViews>
    <sheetView topLeftCell="B4" zoomScale="70" zoomScaleNormal="70" workbookViewId="0">
      <selection activeCell="D16" sqref="D16:G16"/>
    </sheetView>
  </sheetViews>
  <sheetFormatPr defaultColWidth="8.5703125" defaultRowHeight="15" x14ac:dyDescent="0.25"/>
  <cols>
    <col min="2" max="2" width="12.28515625" customWidth="1"/>
    <col min="8" max="8" width="10.5703125" style="2" bestFit="1" customWidth="1"/>
    <col min="9" max="9" width="14.42578125" customWidth="1"/>
    <col min="10" max="10" width="10" bestFit="1" customWidth="1"/>
    <col min="16" max="16" width="8.85546875" style="2" customWidth="1"/>
    <col min="17" max="18" width="11.5703125" customWidth="1"/>
    <col min="20" max="20" width="8.85546875" style="2" customWidth="1"/>
    <col min="22" max="22" width="18.28515625" customWidth="1"/>
  </cols>
  <sheetData>
    <row r="5" spans="1:31" x14ac:dyDescent="0.25">
      <c r="Z5" t="s">
        <v>26</v>
      </c>
      <c r="AA5" s="6">
        <v>7.1800000000000003E-2</v>
      </c>
      <c r="AB5" s="6">
        <f>AC5/2</f>
        <v>0.14344999999999999</v>
      </c>
      <c r="AC5" s="6">
        <v>0.28689999999999999</v>
      </c>
      <c r="AD5" s="6">
        <v>0.43049999999999999</v>
      </c>
      <c r="AE5" s="6">
        <v>0.57410000000000005</v>
      </c>
    </row>
    <row r="6" spans="1:31" x14ac:dyDescent="0.25">
      <c r="Z6" t="s">
        <v>18</v>
      </c>
      <c r="AA6">
        <v>30</v>
      </c>
      <c r="AB6">
        <v>60</v>
      </c>
      <c r="AC6">
        <v>120</v>
      </c>
      <c r="AD6">
        <v>180</v>
      </c>
      <c r="AE6">
        <v>240</v>
      </c>
    </row>
    <row r="7" spans="1:31" x14ac:dyDescent="0.25">
      <c r="B7" t="s">
        <v>7</v>
      </c>
      <c r="I7" t="s">
        <v>8</v>
      </c>
      <c r="Q7" t="s">
        <v>24</v>
      </c>
      <c r="U7" t="s">
        <v>9</v>
      </c>
    </row>
    <row r="8" spans="1:31" x14ac:dyDescent="0.25">
      <c r="B8" s="1" t="s">
        <v>10</v>
      </c>
      <c r="C8">
        <v>0.56399999999999995</v>
      </c>
      <c r="D8">
        <v>0.60399999999999998</v>
      </c>
      <c r="E8">
        <v>0.64400000000000002</v>
      </c>
      <c r="F8">
        <v>0.68400000000000005</v>
      </c>
      <c r="G8">
        <v>0.72399999999999998</v>
      </c>
      <c r="I8" s="1" t="s">
        <v>10</v>
      </c>
      <c r="J8" s="1"/>
      <c r="L8">
        <v>0.60799999999999998</v>
      </c>
      <c r="M8">
        <v>0.64800000000000002</v>
      </c>
      <c r="N8">
        <v>0.6835</v>
      </c>
      <c r="O8">
        <v>0.72350000000000003</v>
      </c>
    </row>
    <row r="9" spans="1:31" x14ac:dyDescent="0.25">
      <c r="V9" s="48" t="s">
        <v>34</v>
      </c>
      <c r="W9" s="48"/>
      <c r="X9" s="49" t="s">
        <v>11</v>
      </c>
      <c r="Y9" s="49"/>
      <c r="Z9" s="49"/>
      <c r="AA9" s="49"/>
    </row>
    <row r="10" spans="1:31" x14ac:dyDescent="0.25">
      <c r="H10" s="2" t="s">
        <v>25</v>
      </c>
      <c r="V10" s="48"/>
      <c r="W10" s="48"/>
      <c r="X10" t="s">
        <v>27</v>
      </c>
      <c r="Y10" t="s">
        <v>12</v>
      </c>
      <c r="Z10" s="21" t="s">
        <v>13</v>
      </c>
      <c r="AA10" t="s">
        <v>14</v>
      </c>
      <c r="AB10" t="s">
        <v>28</v>
      </c>
    </row>
    <row r="11" spans="1:31" ht="15" customHeight="1" x14ac:dyDescent="0.25">
      <c r="B11" s="13" t="s">
        <v>15</v>
      </c>
      <c r="D11">
        <v>15.043569</v>
      </c>
      <c r="E11">
        <v>14.700310999999999</v>
      </c>
      <c r="F11">
        <v>16.002903</v>
      </c>
      <c r="G11">
        <v>16.193719000000002</v>
      </c>
      <c r="H11" s="2">
        <f>F11</f>
        <v>16.002903</v>
      </c>
      <c r="J11" s="13" t="s">
        <v>15</v>
      </c>
      <c r="R11" s="13" t="s">
        <v>15</v>
      </c>
      <c r="V11" s="47" t="s">
        <v>16</v>
      </c>
      <c r="W11">
        <v>30</v>
      </c>
      <c r="Z11" s="22"/>
    </row>
    <row r="12" spans="1:31" ht="15" customHeight="1" x14ac:dyDescent="0.25">
      <c r="B12" s="13"/>
      <c r="J12" s="13"/>
      <c r="R12" s="13"/>
      <c r="V12" s="47"/>
      <c r="W12">
        <v>60</v>
      </c>
      <c r="Z12" s="22"/>
    </row>
    <row r="13" spans="1:31" x14ac:dyDescent="0.25">
      <c r="A13" s="12" t="s">
        <v>19</v>
      </c>
      <c r="B13" s="12" t="s">
        <v>18</v>
      </c>
      <c r="I13" s="12" t="s">
        <v>19</v>
      </c>
      <c r="J13" s="12" t="s">
        <v>18</v>
      </c>
      <c r="Q13" s="12" t="s">
        <v>19</v>
      </c>
      <c r="R13" s="12" t="s">
        <v>18</v>
      </c>
      <c r="V13" s="47"/>
      <c r="W13" s="18">
        <v>120</v>
      </c>
      <c r="X13" s="19"/>
      <c r="Y13" s="19"/>
      <c r="Z13" s="23"/>
      <c r="AA13" s="20"/>
    </row>
    <row r="14" spans="1:31" x14ac:dyDescent="0.25">
      <c r="A14" s="13" t="s">
        <v>23</v>
      </c>
      <c r="B14" s="13" t="s">
        <v>30</v>
      </c>
      <c r="D14">
        <v>14.635444</v>
      </c>
      <c r="E14">
        <v>14.420223</v>
      </c>
      <c r="F14">
        <v>15.439938</v>
      </c>
      <c r="G14">
        <v>15.673591</v>
      </c>
      <c r="H14" s="2">
        <f>E14</f>
        <v>14.420223</v>
      </c>
      <c r="I14" s="13" t="s">
        <v>23</v>
      </c>
      <c r="J14" s="13" t="s">
        <v>30</v>
      </c>
      <c r="L14">
        <f>(D14-D$11)/D$11*100</f>
        <v>-2.7129532892094956</v>
      </c>
      <c r="M14">
        <f>(E14-E$11)/E$11*100</f>
        <v>-1.9053202343814308</v>
      </c>
      <c r="N14">
        <f>(F14-F$11)/F$11*100</f>
        <v>-3.5178929722938399</v>
      </c>
      <c r="O14">
        <f>(G14-G$11)/G$11*100</f>
        <v>-3.2119119764891653</v>
      </c>
      <c r="Q14" s="13" t="s">
        <v>23</v>
      </c>
      <c r="R14" s="13" t="s">
        <v>30</v>
      </c>
      <c r="S14">
        <f>(H14-H$11)/H$11*100</f>
        <v>-9.8899555911824244</v>
      </c>
      <c r="V14" s="47"/>
      <c r="W14">
        <v>180</v>
      </c>
      <c r="Z14" s="22"/>
    </row>
    <row r="15" spans="1:31" x14ac:dyDescent="0.25">
      <c r="A15" t="s">
        <v>23</v>
      </c>
      <c r="B15" s="13" t="s">
        <v>17</v>
      </c>
      <c r="D15">
        <v>14.153262</v>
      </c>
      <c r="E15">
        <v>13.769769</v>
      </c>
      <c r="F15">
        <v>14.946059999999999</v>
      </c>
      <c r="G15">
        <v>15.446721</v>
      </c>
      <c r="H15" s="2">
        <f>E15</f>
        <v>13.769769</v>
      </c>
      <c r="I15" t="s">
        <v>23</v>
      </c>
      <c r="J15" s="13" t="s">
        <v>17</v>
      </c>
      <c r="L15">
        <f t="shared" ref="L15:O42" si="0">(D15-D$11)/D$11*100</f>
        <v>-5.9181900252526507</v>
      </c>
      <c r="M15">
        <f t="shared" si="0"/>
        <v>-6.3300837648944928</v>
      </c>
      <c r="N15">
        <f t="shared" si="0"/>
        <v>-6.6040705239543138</v>
      </c>
      <c r="O15">
        <f t="shared" si="0"/>
        <v>-4.6128872558551945</v>
      </c>
      <c r="Q15" t="s">
        <v>23</v>
      </c>
      <c r="R15" s="13" t="s">
        <v>17</v>
      </c>
      <c r="S15">
        <f t="shared" ref="S15:S42" si="1">(H15-H$11)/H$11*100</f>
        <v>-13.954555620314638</v>
      </c>
      <c r="V15" s="47"/>
      <c r="W15">
        <v>240</v>
      </c>
      <c r="Z15" s="24"/>
    </row>
    <row r="16" spans="1:31" x14ac:dyDescent="0.25">
      <c r="A16" t="s">
        <v>23</v>
      </c>
      <c r="B16" s="13" t="s">
        <v>23</v>
      </c>
      <c r="D16">
        <v>13.420840999999999</v>
      </c>
      <c r="E16">
        <v>13.045503999999999</v>
      </c>
      <c r="F16">
        <v>14.346270000000001</v>
      </c>
      <c r="G16">
        <v>15.514805000000001</v>
      </c>
      <c r="H16" s="2">
        <f t="shared" ref="H16:H42" si="2">E16</f>
        <v>13.045503999999999</v>
      </c>
      <c r="I16" t="s">
        <v>23</v>
      </c>
      <c r="J16" s="13" t="s">
        <v>23</v>
      </c>
      <c r="L16">
        <f t="shared" si="0"/>
        <v>-10.786855167148172</v>
      </c>
      <c r="M16">
        <f t="shared" si="0"/>
        <v>-11.25695231889992</v>
      </c>
      <c r="N16">
        <f t="shared" si="0"/>
        <v>-10.352077994848806</v>
      </c>
      <c r="O16">
        <f t="shared" si="0"/>
        <v>-4.1924526416692833</v>
      </c>
      <c r="Q16" t="s">
        <v>23</v>
      </c>
      <c r="R16" s="13" t="s">
        <v>23</v>
      </c>
      <c r="S16">
        <f t="shared" si="1"/>
        <v>-18.480390714109813</v>
      </c>
    </row>
    <row r="17" spans="1:31" x14ac:dyDescent="0.25">
      <c r="A17" t="s">
        <v>23</v>
      </c>
      <c r="B17" s="13" t="s">
        <v>18</v>
      </c>
      <c r="D17">
        <v>13.004187999999999</v>
      </c>
      <c r="E17">
        <v>13.150717</v>
      </c>
      <c r="F17">
        <v>15.011099</v>
      </c>
      <c r="G17">
        <v>16.537302</v>
      </c>
      <c r="H17" s="2">
        <f t="shared" si="2"/>
        <v>13.150717</v>
      </c>
      <c r="I17" t="s">
        <v>23</v>
      </c>
      <c r="J17" s="13" t="s">
        <v>18</v>
      </c>
      <c r="L17">
        <f t="shared" si="0"/>
        <v>-13.556497131764415</v>
      </c>
      <c r="M17">
        <f t="shared" si="0"/>
        <v>-10.541232767116282</v>
      </c>
      <c r="N17">
        <f t="shared" si="0"/>
        <v>-6.1976505137849056</v>
      </c>
      <c r="O17">
        <f t="shared" si="0"/>
        <v>2.1217053352599167</v>
      </c>
      <c r="Q17" t="s">
        <v>23</v>
      </c>
      <c r="R17" s="13" t="s">
        <v>18</v>
      </c>
      <c r="S17">
        <f t="shared" si="1"/>
        <v>-17.822928752364493</v>
      </c>
    </row>
    <row r="18" spans="1:31" x14ac:dyDescent="0.25">
      <c r="A18" t="s">
        <v>23</v>
      </c>
      <c r="B18" s="13" t="s">
        <v>31</v>
      </c>
      <c r="D18">
        <v>13.024088000000001</v>
      </c>
      <c r="E18">
        <v>14.041384000000001</v>
      </c>
      <c r="F18">
        <v>16.096647999999998</v>
      </c>
      <c r="G18">
        <v>17.844042999999999</v>
      </c>
      <c r="H18" s="2">
        <f t="shared" si="2"/>
        <v>14.041384000000001</v>
      </c>
      <c r="I18" t="s">
        <v>23</v>
      </c>
      <c r="J18" s="13" t="s">
        <v>31</v>
      </c>
      <c r="L18">
        <f t="shared" si="0"/>
        <v>-13.424214692670331</v>
      </c>
      <c r="M18">
        <f t="shared" si="0"/>
        <v>-4.4824017668741734</v>
      </c>
      <c r="N18">
        <f t="shared" si="0"/>
        <v>0.58579996391903655</v>
      </c>
      <c r="O18">
        <f t="shared" si="0"/>
        <v>10.191136452349195</v>
      </c>
      <c r="Q18" t="s">
        <v>23</v>
      </c>
      <c r="R18" s="13" t="s">
        <v>31</v>
      </c>
      <c r="S18">
        <f t="shared" si="1"/>
        <v>-12.257269821606737</v>
      </c>
    </row>
    <row r="19" spans="1:31" s="2" customFormat="1" x14ac:dyDescent="0.25">
      <c r="A19"/>
      <c r="B19" s="13"/>
      <c r="C19"/>
      <c r="D19"/>
      <c r="E19"/>
      <c r="F19"/>
      <c r="G19"/>
      <c r="I19"/>
      <c r="J19" s="13"/>
      <c r="K19"/>
      <c r="L19"/>
      <c r="M19"/>
      <c r="N19"/>
      <c r="O19"/>
      <c r="Q19"/>
      <c r="R19" s="13"/>
      <c r="S19"/>
      <c r="U19"/>
      <c r="V19"/>
      <c r="W19"/>
      <c r="X19"/>
      <c r="Y19"/>
      <c r="Z19"/>
      <c r="AA19"/>
      <c r="AB19"/>
      <c r="AC19"/>
      <c r="AD19"/>
      <c r="AE19"/>
    </row>
    <row r="20" spans="1:31" s="2" customFormat="1" x14ac:dyDescent="0.25">
      <c r="A20" t="s">
        <v>20</v>
      </c>
      <c r="B20" s="13" t="s">
        <v>30</v>
      </c>
      <c r="C20"/>
      <c r="D20">
        <v>14.434096</v>
      </c>
      <c r="E20">
        <v>14.254329</v>
      </c>
      <c r="F20">
        <v>15.205894000000001</v>
      </c>
      <c r="G20">
        <v>15.689239000000001</v>
      </c>
      <c r="H20" s="2">
        <f t="shared" si="2"/>
        <v>14.254329</v>
      </c>
      <c r="I20" t="s">
        <v>20</v>
      </c>
      <c r="J20" s="13" t="s">
        <v>30</v>
      </c>
      <c r="K20"/>
      <c r="L20">
        <f t="shared" si="0"/>
        <v>-4.0513856784915836</v>
      </c>
      <c r="M20">
        <f t="shared" si="0"/>
        <v>-3.0338269714157682</v>
      </c>
      <c r="N20">
        <f t="shared" si="0"/>
        <v>-4.9804026181999559</v>
      </c>
      <c r="O20">
        <f t="shared" si="0"/>
        <v>-3.1152819188723782</v>
      </c>
      <c r="Q20" t="s">
        <v>20</v>
      </c>
      <c r="R20" s="13" t="s">
        <v>30</v>
      </c>
      <c r="S20">
        <f t="shared" si="1"/>
        <v>-10.926605004104566</v>
      </c>
      <c r="U20"/>
      <c r="V20"/>
      <c r="W20"/>
      <c r="X20"/>
      <c r="Y20"/>
      <c r="Z20"/>
      <c r="AA20"/>
      <c r="AB20"/>
      <c r="AC20"/>
      <c r="AD20"/>
      <c r="AE20"/>
    </row>
    <row r="21" spans="1:31" s="2" customFormat="1" x14ac:dyDescent="0.25">
      <c r="A21" t="s">
        <v>20</v>
      </c>
      <c r="B21" s="13" t="s">
        <v>17</v>
      </c>
      <c r="C21"/>
      <c r="D21">
        <v>13.911338000000001</v>
      </c>
      <c r="E21">
        <v>13.416015</v>
      </c>
      <c r="F21">
        <v>14.561228</v>
      </c>
      <c r="G21">
        <v>15.203208</v>
      </c>
      <c r="H21" s="2">
        <f t="shared" si="2"/>
        <v>13.416015</v>
      </c>
      <c r="I21" t="s">
        <v>20</v>
      </c>
      <c r="J21" s="13" t="s">
        <v>17</v>
      </c>
      <c r="K21"/>
      <c r="L21">
        <f t="shared" si="0"/>
        <v>-7.5263456431116786</v>
      </c>
      <c r="M21">
        <f t="shared" si="0"/>
        <v>-8.7365226490786458</v>
      </c>
      <c r="N21">
        <f t="shared" si="0"/>
        <v>-9.0088342096430871</v>
      </c>
      <c r="O21">
        <f t="shared" si="0"/>
        <v>-6.1166369504126958</v>
      </c>
      <c r="Q21" t="s">
        <v>20</v>
      </c>
      <c r="R21" s="13" t="s">
        <v>17</v>
      </c>
      <c r="S21">
        <f t="shared" si="1"/>
        <v>-16.165117041576771</v>
      </c>
      <c r="U21"/>
      <c r="V21"/>
      <c r="W21"/>
      <c r="X21"/>
      <c r="Y21"/>
      <c r="Z21"/>
      <c r="AA21"/>
      <c r="AB21"/>
      <c r="AC21"/>
      <c r="AD21"/>
      <c r="AE21"/>
    </row>
    <row r="22" spans="1:31" s="2" customFormat="1" x14ac:dyDescent="0.25">
      <c r="A22" t="s">
        <v>21</v>
      </c>
      <c r="B22" s="13" t="s">
        <v>23</v>
      </c>
      <c r="C22"/>
      <c r="D22">
        <v>13.109489999999999</v>
      </c>
      <c r="E22">
        <v>13.025745000000001</v>
      </c>
      <c r="F22">
        <v>14.60103</v>
      </c>
      <c r="G22"/>
      <c r="H22" s="2">
        <f t="shared" si="2"/>
        <v>13.025745000000001</v>
      </c>
      <c r="I22" t="s">
        <v>21</v>
      </c>
      <c r="J22" s="13" t="s">
        <v>23</v>
      </c>
      <c r="K22"/>
      <c r="L22">
        <f t="shared" si="0"/>
        <v>-12.856516960835563</v>
      </c>
      <c r="M22">
        <f t="shared" si="0"/>
        <v>-11.39136444120127</v>
      </c>
      <c r="N22">
        <f t="shared" si="0"/>
        <v>-8.7601168363015134</v>
      </c>
      <c r="O22">
        <f t="shared" si="0"/>
        <v>-100</v>
      </c>
      <c r="Q22" t="s">
        <v>21</v>
      </c>
      <c r="R22" s="13" t="s">
        <v>23</v>
      </c>
      <c r="S22">
        <f t="shared" si="1"/>
        <v>-18.603862061777164</v>
      </c>
      <c r="U22"/>
      <c r="V22"/>
      <c r="W22"/>
      <c r="X22"/>
      <c r="Y22"/>
      <c r="Z22"/>
      <c r="AA22"/>
      <c r="AB22"/>
      <c r="AC22"/>
      <c r="AD22"/>
      <c r="AE22"/>
    </row>
    <row r="23" spans="1:31" s="2" customFormat="1" x14ac:dyDescent="0.25">
      <c r="A23" t="s">
        <v>20</v>
      </c>
      <c r="B23" s="13" t="s">
        <v>18</v>
      </c>
      <c r="C23"/>
      <c r="D23">
        <v>13.146532000000001</v>
      </c>
      <c r="E23">
        <v>14.095967</v>
      </c>
      <c r="F23">
        <v>15.990974</v>
      </c>
      <c r="G23">
        <v>17.669705</v>
      </c>
      <c r="H23" s="2">
        <f t="shared" si="2"/>
        <v>14.095967</v>
      </c>
      <c r="I23" t="s">
        <v>20</v>
      </c>
      <c r="J23" s="13" t="s">
        <v>18</v>
      </c>
      <c r="K23"/>
      <c r="L23">
        <f t="shared" si="0"/>
        <v>-12.610285498075619</v>
      </c>
      <c r="M23">
        <f t="shared" si="0"/>
        <v>-4.1110966972059257</v>
      </c>
      <c r="N23">
        <f t="shared" si="0"/>
        <v>-7.4542725154306697E-2</v>
      </c>
      <c r="O23">
        <f t="shared" si="0"/>
        <v>9.1145585519916619</v>
      </c>
      <c r="Q23" t="s">
        <v>20</v>
      </c>
      <c r="R23" s="13" t="s">
        <v>18</v>
      </c>
      <c r="S23">
        <f t="shared" si="1"/>
        <v>-11.916187956647615</v>
      </c>
      <c r="U23"/>
      <c r="V23"/>
      <c r="W23"/>
      <c r="X23"/>
      <c r="Y23"/>
      <c r="Z23"/>
      <c r="AA23"/>
      <c r="AB23"/>
      <c r="AC23"/>
      <c r="AD23"/>
      <c r="AE23"/>
    </row>
    <row r="24" spans="1:31" s="2" customFormat="1" x14ac:dyDescent="0.25">
      <c r="A24" t="s">
        <v>20</v>
      </c>
      <c r="B24" s="13" t="s">
        <v>31</v>
      </c>
      <c r="C24"/>
      <c r="D24">
        <v>14.097683999999999</v>
      </c>
      <c r="E24">
        <v>15.998829000000001</v>
      </c>
      <c r="F24">
        <v>17.923100999999999</v>
      </c>
      <c r="G24">
        <v>19.778831</v>
      </c>
      <c r="H24" s="2">
        <f t="shared" si="2"/>
        <v>15.998829000000001</v>
      </c>
      <c r="I24" t="s">
        <v>20</v>
      </c>
      <c r="J24" s="13" t="s">
        <v>31</v>
      </c>
      <c r="K24"/>
      <c r="L24">
        <f t="shared" si="0"/>
        <v>-6.2876369297737824</v>
      </c>
      <c r="M24">
        <f t="shared" si="0"/>
        <v>8.8332689015899142</v>
      </c>
      <c r="N24">
        <f t="shared" si="0"/>
        <v>11.999060420474954</v>
      </c>
      <c r="O24">
        <f t="shared" si="0"/>
        <v>22.138904596282043</v>
      </c>
      <c r="Q24" t="s">
        <v>20</v>
      </c>
      <c r="R24" s="13" t="s">
        <v>31</v>
      </c>
      <c r="S24">
        <f t="shared" si="1"/>
        <v>-2.5457880985713936E-2</v>
      </c>
      <c r="U24"/>
      <c r="V24"/>
      <c r="W24"/>
      <c r="X24"/>
      <c r="Y24"/>
      <c r="Z24"/>
      <c r="AA24"/>
      <c r="AB24"/>
      <c r="AC24"/>
      <c r="AD24"/>
      <c r="AE24"/>
    </row>
    <row r="26" spans="1:31" x14ac:dyDescent="0.25">
      <c r="A26" t="s">
        <v>22</v>
      </c>
      <c r="B26" s="13" t="s">
        <v>30</v>
      </c>
      <c r="D26">
        <v>14.728845</v>
      </c>
      <c r="E26">
        <v>14.581715000000001</v>
      </c>
      <c r="F26">
        <v>15.542989</v>
      </c>
      <c r="G26">
        <v>15.79303</v>
      </c>
      <c r="H26" s="2">
        <f t="shared" si="2"/>
        <v>14.581715000000001</v>
      </c>
      <c r="I26" t="s">
        <v>22</v>
      </c>
      <c r="J26" s="13" t="s">
        <v>30</v>
      </c>
      <c r="L26">
        <f t="shared" si="0"/>
        <v>-2.0920833347458969</v>
      </c>
      <c r="M26">
        <f t="shared" si="0"/>
        <v>-0.80675844204927616</v>
      </c>
      <c r="N26">
        <f t="shared" si="0"/>
        <v>-2.8739410593190464</v>
      </c>
      <c r="O26">
        <f t="shared" si="0"/>
        <v>-2.4743482334107538</v>
      </c>
      <c r="Q26" t="s">
        <v>22</v>
      </c>
      <c r="R26" s="13" t="s">
        <v>30</v>
      </c>
      <c r="S26">
        <f t="shared" si="1"/>
        <v>-8.8808136873665919</v>
      </c>
    </row>
    <row r="27" spans="1:31" s="2" customFormat="1" x14ac:dyDescent="0.25">
      <c r="A27" t="s">
        <v>22</v>
      </c>
      <c r="B27" s="13" t="s">
        <v>17</v>
      </c>
      <c r="C27"/>
      <c r="D27">
        <v>14.432468</v>
      </c>
      <c r="E27">
        <v>14.198001</v>
      </c>
      <c r="F27">
        <v>14.952510999999999</v>
      </c>
      <c r="G27">
        <v>15.667849</v>
      </c>
      <c r="H27" s="2">
        <f t="shared" si="2"/>
        <v>14.198001</v>
      </c>
      <c r="I27" t="s">
        <v>22</v>
      </c>
      <c r="J27" s="13" t="s">
        <v>17</v>
      </c>
      <c r="K27"/>
      <c r="L27">
        <f t="shared" si="0"/>
        <v>-4.0622075785340543</v>
      </c>
      <c r="M27">
        <f t="shared" si="0"/>
        <v>-3.4170025382456171</v>
      </c>
      <c r="N27">
        <f t="shared" si="0"/>
        <v>-6.5637590879604817</v>
      </c>
      <c r="O27">
        <f t="shared" si="0"/>
        <v>-3.2473701686437879</v>
      </c>
      <c r="Q27" t="s">
        <v>22</v>
      </c>
      <c r="R27" s="13" t="s">
        <v>17</v>
      </c>
      <c r="S27">
        <f t="shared" si="1"/>
        <v>-11.278591140619925</v>
      </c>
      <c r="U27"/>
      <c r="V27"/>
      <c r="W27"/>
      <c r="X27"/>
      <c r="Y27"/>
      <c r="Z27"/>
      <c r="AA27"/>
      <c r="AB27"/>
      <c r="AC27"/>
      <c r="AD27"/>
      <c r="AE27"/>
    </row>
    <row r="28" spans="1:31" s="2" customFormat="1" x14ac:dyDescent="0.25">
      <c r="A28" t="s">
        <v>22</v>
      </c>
      <c r="B28" s="13" t="s">
        <v>23</v>
      </c>
      <c r="C28"/>
      <c r="D28">
        <v>13.895263999999999</v>
      </c>
      <c r="E28">
        <v>13.335151</v>
      </c>
      <c r="F28">
        <v>14.719719</v>
      </c>
      <c r="G28">
        <v>15.267431</v>
      </c>
      <c r="H28" s="2">
        <f t="shared" si="2"/>
        <v>13.335151</v>
      </c>
      <c r="I28" t="s">
        <v>22</v>
      </c>
      <c r="J28" s="13" t="s">
        <v>23</v>
      </c>
      <c r="K28"/>
      <c r="L28">
        <f t="shared" si="0"/>
        <v>-7.6331952876342077</v>
      </c>
      <c r="M28">
        <f t="shared" si="0"/>
        <v>-9.2866062493507755</v>
      </c>
      <c r="N28">
        <f t="shared" si="0"/>
        <v>-8.0184451533574901</v>
      </c>
      <c r="O28">
        <f t="shared" si="0"/>
        <v>-5.72004491371007</v>
      </c>
      <c r="Q28" t="s">
        <v>22</v>
      </c>
      <c r="R28" s="13" t="s">
        <v>23</v>
      </c>
      <c r="S28">
        <f t="shared" si="1"/>
        <v>-16.6704253596988</v>
      </c>
      <c r="U28"/>
      <c r="V28"/>
      <c r="W28"/>
      <c r="X28"/>
      <c r="Y28"/>
      <c r="Z28"/>
      <c r="AA28"/>
      <c r="AB28"/>
      <c r="AC28"/>
      <c r="AD28"/>
      <c r="AE28"/>
    </row>
    <row r="29" spans="1:31" s="2" customFormat="1" x14ac:dyDescent="0.25">
      <c r="A29" t="s">
        <v>22</v>
      </c>
      <c r="B29" s="13" t="s">
        <v>18</v>
      </c>
      <c r="C29"/>
      <c r="D29">
        <v>13.319224999999999</v>
      </c>
      <c r="E29">
        <v>12.986893999999999</v>
      </c>
      <c r="F29">
        <v>14.458045</v>
      </c>
      <c r="G29">
        <v>15.71936</v>
      </c>
      <c r="H29" s="2">
        <f t="shared" si="2"/>
        <v>12.986893999999999</v>
      </c>
      <c r="I29" t="s">
        <v>22</v>
      </c>
      <c r="J29" s="13" t="s">
        <v>18</v>
      </c>
      <c r="K29"/>
      <c r="L29">
        <f t="shared" si="0"/>
        <v>-11.462333173730253</v>
      </c>
      <c r="M29">
        <f t="shared" si="0"/>
        <v>-11.655651366831627</v>
      </c>
      <c r="N29">
        <f t="shared" si="0"/>
        <v>-9.6536109729590915</v>
      </c>
      <c r="O29">
        <f t="shared" si="0"/>
        <v>-2.9292777032873145</v>
      </c>
      <c r="Q29" t="s">
        <v>22</v>
      </c>
      <c r="R29" s="13" t="s">
        <v>18</v>
      </c>
      <c r="S29">
        <f t="shared" si="1"/>
        <v>-18.846636763342254</v>
      </c>
      <c r="U29"/>
      <c r="V29"/>
      <c r="W29"/>
      <c r="X29"/>
      <c r="Y29"/>
      <c r="Z29"/>
      <c r="AA29"/>
      <c r="AB29"/>
      <c r="AC29"/>
      <c r="AD29"/>
      <c r="AE29"/>
    </row>
    <row r="30" spans="1:31" s="2" customFormat="1" x14ac:dyDescent="0.25">
      <c r="A30" t="s">
        <v>22</v>
      </c>
      <c r="B30" s="13" t="s">
        <v>31</v>
      </c>
      <c r="C30"/>
      <c r="D30">
        <v>15.71936</v>
      </c>
      <c r="E30">
        <v>13.016788</v>
      </c>
      <c r="F30">
        <v>14.871712</v>
      </c>
      <c r="G30">
        <v>16.444382000000001</v>
      </c>
      <c r="H30" s="2">
        <f t="shared" si="2"/>
        <v>13.016788</v>
      </c>
      <c r="I30" t="s">
        <v>22</v>
      </c>
      <c r="J30" s="13" t="s">
        <v>31</v>
      </c>
      <c r="K30"/>
      <c r="L30">
        <f t="shared" si="0"/>
        <v>4.4922252159710254</v>
      </c>
      <c r="M30">
        <f t="shared" si="0"/>
        <v>-11.452295124912659</v>
      </c>
      <c r="N30">
        <f t="shared" si="0"/>
        <v>-7.0686612297781188</v>
      </c>
      <c r="O30">
        <f t="shared" si="0"/>
        <v>1.5479026158228346</v>
      </c>
      <c r="Q30" t="s">
        <v>22</v>
      </c>
      <c r="R30" s="13" t="s">
        <v>31</v>
      </c>
      <c r="S30">
        <f t="shared" si="1"/>
        <v>-18.659833156521664</v>
      </c>
      <c r="U30"/>
      <c r="V30"/>
      <c r="W30"/>
      <c r="X30"/>
      <c r="Y30"/>
      <c r="Z30"/>
      <c r="AA30"/>
      <c r="AB30"/>
      <c r="AC30"/>
      <c r="AD30"/>
      <c r="AE30"/>
    </row>
    <row r="31" spans="1:31" s="2" customFormat="1" x14ac:dyDescent="0.25">
      <c r="A31"/>
      <c r="B31"/>
      <c r="C31"/>
      <c r="D31"/>
      <c r="E31"/>
      <c r="F31"/>
      <c r="G31"/>
      <c r="I31"/>
      <c r="J31"/>
      <c r="K31"/>
      <c r="L31"/>
      <c r="M31"/>
      <c r="N31"/>
      <c r="O31"/>
      <c r="Q31"/>
      <c r="R31"/>
      <c r="S31"/>
      <c r="U31"/>
      <c r="V31"/>
      <c r="W31"/>
      <c r="X31"/>
      <c r="Y31"/>
      <c r="Z31"/>
      <c r="AA31"/>
      <c r="AB31"/>
      <c r="AC31"/>
      <c r="AD31"/>
      <c r="AE31"/>
    </row>
    <row r="32" spans="1:31" s="2" customFormat="1" x14ac:dyDescent="0.25">
      <c r="A32" t="s">
        <v>29</v>
      </c>
      <c r="B32" s="13" t="s">
        <v>30</v>
      </c>
      <c r="C32"/>
      <c r="D32">
        <v>14.413826</v>
      </c>
      <c r="E32">
        <v>14.091381</v>
      </c>
      <c r="F32">
        <v>14.89953</v>
      </c>
      <c r="G32">
        <v>15.441827999999999</v>
      </c>
      <c r="H32" s="2">
        <f t="shared" si="2"/>
        <v>14.091381</v>
      </c>
      <c r="I32" t="s">
        <v>29</v>
      </c>
      <c r="J32" s="13" t="s">
        <v>30</v>
      </c>
      <c r="K32"/>
      <c r="L32">
        <f t="shared" si="0"/>
        <v>-4.1861276403225824</v>
      </c>
      <c r="M32">
        <f t="shared" si="0"/>
        <v>-4.1422933161073878</v>
      </c>
      <c r="N32">
        <f t="shared" si="0"/>
        <v>-6.8948302692330223</v>
      </c>
      <c r="O32">
        <f t="shared" si="0"/>
        <v>-4.6431026745616757</v>
      </c>
      <c r="Q32" t="s">
        <v>29</v>
      </c>
      <c r="R32" s="13" t="s">
        <v>30</v>
      </c>
      <c r="S32">
        <f t="shared" si="1"/>
        <v>-11.944845257138656</v>
      </c>
      <c r="U32"/>
      <c r="V32"/>
      <c r="W32"/>
      <c r="X32"/>
      <c r="Y32"/>
      <c r="Z32"/>
      <c r="AA32"/>
      <c r="AB32"/>
      <c r="AC32"/>
      <c r="AD32"/>
      <c r="AE32"/>
    </row>
    <row r="33" spans="1:31" s="2" customFormat="1" x14ac:dyDescent="0.25">
      <c r="A33" t="s">
        <v>29</v>
      </c>
      <c r="B33" s="13" t="s">
        <v>17</v>
      </c>
      <c r="C33"/>
      <c r="D33">
        <v>13.823103</v>
      </c>
      <c r="E33">
        <v>13.329852000000001</v>
      </c>
      <c r="F33">
        <v>14.432667</v>
      </c>
      <c r="G33">
        <v>15.046614999999999</v>
      </c>
      <c r="H33" s="2">
        <f t="shared" si="2"/>
        <v>13.329852000000001</v>
      </c>
      <c r="I33" t="s">
        <v>29</v>
      </c>
      <c r="J33" s="13" t="s">
        <v>17</v>
      </c>
      <c r="K33"/>
      <c r="L33">
        <f t="shared" si="0"/>
        <v>-8.1128753422808124</v>
      </c>
      <c r="M33">
        <f t="shared" si="0"/>
        <v>-9.3226531057744193</v>
      </c>
      <c r="N33">
        <f t="shared" si="0"/>
        <v>-9.812194699924131</v>
      </c>
      <c r="O33">
        <f t="shared" si="0"/>
        <v>-7.08363532799354</v>
      </c>
      <c r="Q33" t="s">
        <v>29</v>
      </c>
      <c r="R33" s="13" t="s">
        <v>17</v>
      </c>
      <c r="S33">
        <f t="shared" si="1"/>
        <v>-16.703538101805648</v>
      </c>
      <c r="U33"/>
      <c r="V33"/>
      <c r="W33"/>
      <c r="X33"/>
      <c r="Y33"/>
      <c r="Z33"/>
      <c r="AA33"/>
      <c r="AB33"/>
      <c r="AC33"/>
      <c r="AD33"/>
      <c r="AE33"/>
    </row>
    <row r="34" spans="1:31" s="2" customFormat="1" x14ac:dyDescent="0.25">
      <c r="A34" t="s">
        <v>29</v>
      </c>
      <c r="B34" s="13" t="s">
        <v>23</v>
      </c>
      <c r="C34"/>
      <c r="D34">
        <v>13.054639</v>
      </c>
      <c r="E34">
        <v>13.129009</v>
      </c>
      <c r="F34">
        <v>14.833463</v>
      </c>
      <c r="G34">
        <v>16.575775</v>
      </c>
      <c r="H34" s="2">
        <f t="shared" si="2"/>
        <v>13.129009</v>
      </c>
      <c r="I34" t="s">
        <v>29</v>
      </c>
      <c r="J34" s="13" t="s">
        <v>23</v>
      </c>
      <c r="K34"/>
      <c r="L34">
        <f t="shared" si="0"/>
        <v>-13.221131235546565</v>
      </c>
      <c r="M34">
        <f t="shared" si="0"/>
        <v>-10.688903112321906</v>
      </c>
      <c r="N34">
        <f t="shared" si="0"/>
        <v>-7.3076741138779626</v>
      </c>
      <c r="O34">
        <f t="shared" si="0"/>
        <v>2.3592851030698911</v>
      </c>
      <c r="Q34" t="s">
        <v>29</v>
      </c>
      <c r="R34" s="13" t="s">
        <v>23</v>
      </c>
      <c r="S34">
        <f t="shared" si="1"/>
        <v>-17.958579140297232</v>
      </c>
      <c r="U34"/>
      <c r="V34"/>
      <c r="W34"/>
      <c r="X34"/>
      <c r="Y34"/>
      <c r="Z34"/>
      <c r="AA34"/>
      <c r="AB34"/>
      <c r="AC34"/>
      <c r="AD34"/>
      <c r="AE34"/>
    </row>
    <row r="35" spans="1:31" s="2" customFormat="1" x14ac:dyDescent="0.25">
      <c r="A35" t="s">
        <v>29</v>
      </c>
      <c r="B35" s="13" t="s">
        <v>18</v>
      </c>
      <c r="C35"/>
      <c r="D35">
        <v>13.410028000000001</v>
      </c>
      <c r="E35">
        <v>14.990990999999999</v>
      </c>
      <c r="F35">
        <v>16.641729000000002</v>
      </c>
      <c r="G35">
        <v>18.651879000000001</v>
      </c>
      <c r="H35" s="2">
        <f t="shared" si="2"/>
        <v>14.990990999999999</v>
      </c>
      <c r="I35" t="s">
        <v>29</v>
      </c>
      <c r="J35" s="13" t="s">
        <v>18</v>
      </c>
      <c r="K35"/>
      <c r="L35">
        <f t="shared" si="0"/>
        <v>-10.858733057295108</v>
      </c>
      <c r="M35">
        <f t="shared" si="0"/>
        <v>1.9773731317657159</v>
      </c>
      <c r="N35">
        <f t="shared" si="0"/>
        <v>3.9919382127105418</v>
      </c>
      <c r="O35">
        <f t="shared" si="0"/>
        <v>15.179712578685594</v>
      </c>
      <c r="Q35" t="s">
        <v>29</v>
      </c>
      <c r="R35" s="13" t="s">
        <v>18</v>
      </c>
      <c r="S35">
        <f t="shared" si="1"/>
        <v>-6.3233027157635124</v>
      </c>
      <c r="U35"/>
      <c r="V35"/>
      <c r="W35"/>
      <c r="X35"/>
      <c r="Y35"/>
      <c r="Z35"/>
      <c r="AA35"/>
      <c r="AB35"/>
      <c r="AC35"/>
      <c r="AD35"/>
      <c r="AE35"/>
    </row>
    <row r="36" spans="1:31" x14ac:dyDescent="0.25">
      <c r="A36" t="s">
        <v>29</v>
      </c>
      <c r="B36" s="13" t="s">
        <v>31</v>
      </c>
      <c r="D36">
        <v>14.964581000000001</v>
      </c>
      <c r="E36">
        <v>17.199712000000002</v>
      </c>
      <c r="F36">
        <v>19.160046000000001</v>
      </c>
      <c r="G36">
        <v>20.985303999999999</v>
      </c>
      <c r="H36" s="2">
        <f t="shared" si="2"/>
        <v>17.199712000000002</v>
      </c>
      <c r="I36" t="s">
        <v>29</v>
      </c>
      <c r="J36" s="13" t="s">
        <v>31</v>
      </c>
      <c r="L36">
        <f t="shared" si="0"/>
        <v>-0.5250615728222402</v>
      </c>
      <c r="M36">
        <f t="shared" si="0"/>
        <v>17.002368181190196</v>
      </c>
      <c r="N36">
        <f t="shared" si="0"/>
        <v>19.728564248624149</v>
      </c>
      <c r="O36">
        <f t="shared" si="0"/>
        <v>29.589157376387703</v>
      </c>
      <c r="Q36" t="s">
        <v>29</v>
      </c>
      <c r="R36" s="13" t="s">
        <v>31</v>
      </c>
      <c r="S36">
        <f t="shared" si="1"/>
        <v>7.4786993334896916</v>
      </c>
    </row>
    <row r="38" spans="1:31" x14ac:dyDescent="0.25">
      <c r="A38" t="s">
        <v>32</v>
      </c>
      <c r="B38" s="13" t="s">
        <v>30</v>
      </c>
      <c r="D38">
        <v>14.869260000000001</v>
      </c>
      <c r="E38">
        <v>14.74409</v>
      </c>
      <c r="F38">
        <v>15.681932</v>
      </c>
      <c r="G38">
        <v>15.89471</v>
      </c>
      <c r="H38" s="2">
        <f t="shared" si="2"/>
        <v>14.74409</v>
      </c>
      <c r="I38" t="s">
        <v>32</v>
      </c>
      <c r="J38" s="13" t="s">
        <v>30</v>
      </c>
      <c r="L38">
        <f t="shared" si="0"/>
        <v>-1.158694456082856</v>
      </c>
      <c r="M38">
        <f t="shared" si="0"/>
        <v>0.29781002592394595</v>
      </c>
      <c r="N38">
        <f t="shared" si="0"/>
        <v>-2.0057048399281063</v>
      </c>
      <c r="O38">
        <f t="shared" si="0"/>
        <v>-1.8464504663814507</v>
      </c>
      <c r="Q38" t="s">
        <v>32</v>
      </c>
      <c r="R38" s="13" t="s">
        <v>30</v>
      </c>
      <c r="S38">
        <f t="shared" si="1"/>
        <v>-7.8661540346773338</v>
      </c>
    </row>
    <row r="39" spans="1:31" x14ac:dyDescent="0.25">
      <c r="A39" t="s">
        <v>32</v>
      </c>
      <c r="B39" s="13" t="s">
        <v>17</v>
      </c>
      <c r="D39">
        <v>14.713564</v>
      </c>
      <c r="E39">
        <v>14.507460999999999</v>
      </c>
      <c r="F39">
        <v>15.21766</v>
      </c>
      <c r="G39">
        <v>15.784793000000001</v>
      </c>
      <c r="H39" s="2">
        <f t="shared" si="2"/>
        <v>14.507460999999999</v>
      </c>
      <c r="I39" t="s">
        <v>32</v>
      </c>
      <c r="J39" s="13" t="s">
        <v>17</v>
      </c>
      <c r="L39">
        <f t="shared" si="0"/>
        <v>-2.1936616237808986</v>
      </c>
      <c r="M39">
        <f t="shared" si="0"/>
        <v>-1.3118770072279422</v>
      </c>
      <c r="N39">
        <f t="shared" si="0"/>
        <v>-4.9068784582397305</v>
      </c>
      <c r="O39">
        <f t="shared" si="0"/>
        <v>-2.5252136337551674</v>
      </c>
      <c r="Q39" t="s">
        <v>32</v>
      </c>
      <c r="R39" s="13" t="s">
        <v>17</v>
      </c>
      <c r="S39">
        <f t="shared" si="1"/>
        <v>-9.3448169997656088</v>
      </c>
    </row>
    <row r="40" spans="1:31" x14ac:dyDescent="0.25">
      <c r="A40" t="s">
        <v>32</v>
      </c>
      <c r="B40" s="13" t="s">
        <v>23</v>
      </c>
      <c r="D40">
        <v>14.321522999999999</v>
      </c>
      <c r="E40">
        <v>13.95279</v>
      </c>
      <c r="F40">
        <v>15.047687</v>
      </c>
      <c r="G40">
        <v>15.599209</v>
      </c>
      <c r="H40" s="2">
        <f t="shared" si="2"/>
        <v>13.95279</v>
      </c>
      <c r="I40" t="s">
        <v>32</v>
      </c>
      <c r="J40" s="13" t="s">
        <v>23</v>
      </c>
      <c r="L40">
        <f t="shared" si="0"/>
        <v>-4.7996987948803946</v>
      </c>
      <c r="M40">
        <f t="shared" si="0"/>
        <v>-5.0850692886701445</v>
      </c>
      <c r="N40">
        <f t="shared" si="0"/>
        <v>-5.9690169964787012</v>
      </c>
      <c r="O40">
        <f t="shared" si="0"/>
        <v>-3.6712382127910295</v>
      </c>
      <c r="Q40" t="s">
        <v>32</v>
      </c>
      <c r="R40" s="13" t="s">
        <v>23</v>
      </c>
      <c r="S40">
        <f t="shared" si="1"/>
        <v>-12.810881875619689</v>
      </c>
    </row>
    <row r="41" spans="1:31" x14ac:dyDescent="0.25">
      <c r="A41" t="s">
        <v>32</v>
      </c>
      <c r="B41" s="13" t="s">
        <v>18</v>
      </c>
      <c r="D41">
        <v>13.932577999999999</v>
      </c>
      <c r="E41">
        <v>13.457195</v>
      </c>
      <c r="F41">
        <v>14.352395</v>
      </c>
      <c r="G41">
        <v>15.555929000000001</v>
      </c>
      <c r="H41" s="2">
        <f t="shared" si="2"/>
        <v>13.457195</v>
      </c>
      <c r="I41" t="s">
        <v>32</v>
      </c>
      <c r="J41" s="13" t="s">
        <v>18</v>
      </c>
      <c r="L41">
        <f t="shared" si="0"/>
        <v>-7.3851557432946953</v>
      </c>
      <c r="M41">
        <f t="shared" si="0"/>
        <v>-8.456392521219442</v>
      </c>
      <c r="N41">
        <f t="shared" si="0"/>
        <v>-10.313803689243136</v>
      </c>
      <c r="O41">
        <f t="shared" si="0"/>
        <v>-3.9385023292055439</v>
      </c>
      <c r="Q41" t="s">
        <v>32</v>
      </c>
      <c r="R41" s="13" t="s">
        <v>18</v>
      </c>
      <c r="S41">
        <f t="shared" si="1"/>
        <v>-15.907788730582192</v>
      </c>
    </row>
    <row r="42" spans="1:31" x14ac:dyDescent="0.25">
      <c r="A42" t="s">
        <v>32</v>
      </c>
      <c r="B42" s="13" t="s">
        <v>31</v>
      </c>
      <c r="D42">
        <v>13.621803999999999</v>
      </c>
      <c r="E42">
        <v>13.136628</v>
      </c>
      <c r="F42">
        <v>14.628197999999999</v>
      </c>
      <c r="G42">
        <v>15.523332999999999</v>
      </c>
      <c r="H42" s="2">
        <f t="shared" si="2"/>
        <v>13.136628</v>
      </c>
      <c r="I42" t="s">
        <v>32</v>
      </c>
      <c r="J42" s="13" t="s">
        <v>31</v>
      </c>
      <c r="L42">
        <f t="shared" si="0"/>
        <v>-9.450982010984232</v>
      </c>
      <c r="M42">
        <f t="shared" si="0"/>
        <v>-10.637074276863935</v>
      </c>
      <c r="N42">
        <f t="shared" si="0"/>
        <v>-8.5903476388002886</v>
      </c>
      <c r="O42">
        <f t="shared" si="0"/>
        <v>-4.1397902483055455</v>
      </c>
      <c r="Q42" t="s">
        <v>32</v>
      </c>
      <c r="R42" s="13" t="s">
        <v>31</v>
      </c>
      <c r="S42">
        <f t="shared" si="1"/>
        <v>-17.910969028556881</v>
      </c>
    </row>
    <row r="45" spans="1:31" x14ac:dyDescent="0.25">
      <c r="H45" s="2">
        <f t="shared" ref="H45:H51" si="3">E45</f>
        <v>0</v>
      </c>
    </row>
    <row r="46" spans="1:31" x14ac:dyDescent="0.25">
      <c r="H46" s="2">
        <f t="shared" si="3"/>
        <v>0</v>
      </c>
    </row>
    <row r="47" spans="1:31" x14ac:dyDescent="0.25">
      <c r="H47" s="2">
        <f t="shared" si="3"/>
        <v>0</v>
      </c>
    </row>
    <row r="48" spans="1:31" x14ac:dyDescent="0.25">
      <c r="H48" s="2">
        <f t="shared" si="3"/>
        <v>0</v>
      </c>
    </row>
    <row r="49" spans="8:8" x14ac:dyDescent="0.25">
      <c r="H49" s="2">
        <f t="shared" si="3"/>
        <v>0</v>
      </c>
    </row>
    <row r="50" spans="8:8" x14ac:dyDescent="0.25">
      <c r="H50" s="2">
        <f t="shared" si="3"/>
        <v>0</v>
      </c>
    </row>
    <row r="51" spans="8:8" x14ac:dyDescent="0.25">
      <c r="H51" s="2">
        <f t="shared" si="3"/>
        <v>0</v>
      </c>
    </row>
  </sheetData>
  <mergeCells count="3">
    <mergeCell ref="V9:W10"/>
    <mergeCell ref="X9:AA9"/>
    <mergeCell ref="V11:V15"/>
  </mergeCells>
  <conditionalFormatting sqref="X11:AB15">
    <cfRule type="colorScale" priority="1">
      <colorScale>
        <cfvo type="min"/>
        <cfvo type="num" val="0"/>
        <cfvo type="max"/>
        <color rgb="FF63BE7B"/>
        <color rgb="FFFCFCFF"/>
        <color rgb="FFF8696B"/>
      </colorScale>
    </cfRule>
  </conditionalFormatting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FAF5D-2D50-4BFF-BBDE-B5957E29201B}">
  <dimension ref="A5:AE51"/>
  <sheetViews>
    <sheetView topLeftCell="A13" zoomScale="70" zoomScaleNormal="70" workbookViewId="0">
      <selection activeCell="J44" sqref="J44"/>
    </sheetView>
  </sheetViews>
  <sheetFormatPr defaultColWidth="8.5703125" defaultRowHeight="15" x14ac:dyDescent="0.25"/>
  <cols>
    <col min="2" max="2" width="9.7109375" customWidth="1"/>
    <col min="8" max="8" width="10.5703125" style="2" bestFit="1" customWidth="1"/>
    <col min="9" max="9" width="14.42578125" customWidth="1"/>
    <col min="10" max="10" width="10" bestFit="1" customWidth="1"/>
    <col min="16" max="16" width="8.85546875" style="2" customWidth="1"/>
    <col min="17" max="18" width="11.5703125" customWidth="1"/>
    <col min="20" max="20" width="8.85546875" style="2" customWidth="1"/>
    <col min="22" max="22" width="18.28515625" customWidth="1"/>
  </cols>
  <sheetData>
    <row r="5" spans="1:31" x14ac:dyDescent="0.25">
      <c r="Z5" t="s">
        <v>26</v>
      </c>
      <c r="AA5" s="6">
        <v>7.1800000000000003E-2</v>
      </c>
      <c r="AB5" s="6">
        <f>AC5/2</f>
        <v>0.14344999999999999</v>
      </c>
      <c r="AC5" s="6">
        <v>0.28689999999999999</v>
      </c>
      <c r="AD5" s="6">
        <v>0.43049999999999999</v>
      </c>
      <c r="AE5" s="6">
        <v>0.57410000000000005</v>
      </c>
    </row>
    <row r="6" spans="1:31" x14ac:dyDescent="0.25">
      <c r="Z6" t="s">
        <v>18</v>
      </c>
      <c r="AA6">
        <v>30</v>
      </c>
      <c r="AB6">
        <v>60</v>
      </c>
      <c r="AC6">
        <v>120</v>
      </c>
      <c r="AD6">
        <v>180</v>
      </c>
      <c r="AE6">
        <v>240</v>
      </c>
    </row>
    <row r="7" spans="1:31" x14ac:dyDescent="0.25">
      <c r="B7" t="s">
        <v>7</v>
      </c>
      <c r="I7" t="s">
        <v>8</v>
      </c>
      <c r="Q7" t="s">
        <v>24</v>
      </c>
      <c r="U7" t="s">
        <v>9</v>
      </c>
    </row>
    <row r="8" spans="1:31" x14ac:dyDescent="0.25">
      <c r="B8" s="1" t="s">
        <v>10</v>
      </c>
      <c r="C8">
        <v>0.56799999999999995</v>
      </c>
      <c r="D8">
        <v>0.60799999999999998</v>
      </c>
      <c r="E8">
        <v>0.64800000000000002</v>
      </c>
      <c r="F8">
        <v>0.6835</v>
      </c>
      <c r="G8">
        <v>0.72350000000000003</v>
      </c>
      <c r="I8" s="1" t="s">
        <v>10</v>
      </c>
      <c r="J8" s="1"/>
      <c r="L8">
        <v>0.60799999999999998</v>
      </c>
      <c r="M8">
        <v>0.64800000000000002</v>
      </c>
      <c r="N8">
        <v>0.6835</v>
      </c>
      <c r="O8">
        <v>0.72350000000000003</v>
      </c>
    </row>
    <row r="9" spans="1:31" ht="14.45" customHeight="1" x14ac:dyDescent="0.25">
      <c r="V9" s="48" t="s">
        <v>33</v>
      </c>
      <c r="W9" s="48"/>
      <c r="X9" s="49" t="s">
        <v>11</v>
      </c>
      <c r="Y9" s="49"/>
      <c r="Z9" s="49"/>
      <c r="AA9" s="49"/>
    </row>
    <row r="10" spans="1:31" x14ac:dyDescent="0.25">
      <c r="H10" s="2" t="s">
        <v>25</v>
      </c>
      <c r="V10" s="48"/>
      <c r="W10" s="48"/>
      <c r="X10" t="s">
        <v>27</v>
      </c>
      <c r="Y10" t="s">
        <v>12</v>
      </c>
      <c r="Z10" t="s">
        <v>13</v>
      </c>
      <c r="AA10" t="s">
        <v>14</v>
      </c>
      <c r="AB10" t="s">
        <v>28</v>
      </c>
    </row>
    <row r="11" spans="1:31" ht="15" customHeight="1" x14ac:dyDescent="0.25">
      <c r="B11" s="13" t="s">
        <v>15</v>
      </c>
      <c r="D11">
        <v>11.308961</v>
      </c>
      <c r="E11">
        <v>11.120588</v>
      </c>
      <c r="F11">
        <v>11.069881000000001</v>
      </c>
      <c r="G11">
        <v>11.199204</v>
      </c>
      <c r="H11" s="2">
        <f>F11</f>
        <v>11.069881000000001</v>
      </c>
      <c r="J11" s="13" t="s">
        <v>15</v>
      </c>
      <c r="R11" s="13" t="s">
        <v>15</v>
      </c>
      <c r="V11" s="47" t="s">
        <v>16</v>
      </c>
      <c r="W11">
        <v>30</v>
      </c>
      <c r="X11" s="25">
        <v>-2.68425649742758</v>
      </c>
      <c r="Y11" s="25">
        <v>-1.7121322261729872</v>
      </c>
      <c r="Z11" s="25">
        <v>-1.4163295883668514</v>
      </c>
      <c r="AA11" s="25">
        <v>-0.43584027687379767</v>
      </c>
      <c r="AB11" s="25">
        <v>0.31237914842987069</v>
      </c>
    </row>
    <row r="12" spans="1:31" ht="15" customHeight="1" x14ac:dyDescent="0.25">
      <c r="B12" s="13"/>
      <c r="J12" s="13"/>
      <c r="R12" s="13"/>
      <c r="V12" s="47"/>
      <c r="W12">
        <v>60</v>
      </c>
      <c r="X12" s="25">
        <v>-4.182628521480952</v>
      </c>
      <c r="Y12" s="25">
        <v>-4.542280084130998</v>
      </c>
      <c r="Z12" s="25">
        <v>-3.1454629006400432</v>
      </c>
      <c r="AA12" s="25">
        <v>-1.3899426741805057</v>
      </c>
      <c r="AB12" s="25">
        <v>0.17563874444539185</v>
      </c>
    </row>
    <row r="13" spans="1:31" x14ac:dyDescent="0.25">
      <c r="A13" s="12" t="s">
        <v>19</v>
      </c>
      <c r="B13" s="12" t="s">
        <v>18</v>
      </c>
      <c r="I13" s="12" t="s">
        <v>19</v>
      </c>
      <c r="J13" s="12" t="s">
        <v>18</v>
      </c>
      <c r="Q13" s="12" t="s">
        <v>19</v>
      </c>
      <c r="R13" s="12" t="s">
        <v>18</v>
      </c>
      <c r="V13" s="47"/>
      <c r="W13">
        <v>120</v>
      </c>
      <c r="X13" s="25">
        <v>-2.102976536062128</v>
      </c>
      <c r="Y13" s="25">
        <v>-3.6342847768643667</v>
      </c>
      <c r="Z13" s="44">
        <v>-5.1817991539385178</v>
      </c>
      <c r="AA13" s="25">
        <v>-3.2651118833165462</v>
      </c>
      <c r="AB13" s="25">
        <v>4.1536128527485144E-2</v>
      </c>
    </row>
    <row r="14" spans="1:31" x14ac:dyDescent="0.25">
      <c r="A14" s="13" t="s">
        <v>23</v>
      </c>
      <c r="B14" s="13" t="s">
        <v>30</v>
      </c>
      <c r="D14">
        <v>11.108798</v>
      </c>
      <c r="E14">
        <v>10.913095</v>
      </c>
      <c r="F14">
        <v>10.850683</v>
      </c>
      <c r="G14">
        <v>10.980335</v>
      </c>
      <c r="H14" s="2">
        <f>E14</f>
        <v>10.913095</v>
      </c>
      <c r="I14" s="13" t="s">
        <v>23</v>
      </c>
      <c r="J14" s="13" t="s">
        <v>30</v>
      </c>
      <c r="L14">
        <f>(D14-D$11)/D$11*100</f>
        <v>-1.7699503959735989</v>
      </c>
      <c r="M14">
        <f>(E14-E$11)/E$11*100</f>
        <v>-1.8658455829853555</v>
      </c>
      <c r="N14">
        <f>(F14-F$11)/F$11*100</f>
        <v>-1.9801296870309668</v>
      </c>
      <c r="O14">
        <f>(G14-G$11)/G$11*100</f>
        <v>-1.9543263967689111</v>
      </c>
      <c r="Q14" s="13" t="s">
        <v>23</v>
      </c>
      <c r="R14" s="13" t="s">
        <v>30</v>
      </c>
      <c r="S14">
        <f>(H14-H$11)/H$11*100</f>
        <v>-1.4163295883668514</v>
      </c>
      <c r="V14" s="47"/>
      <c r="W14">
        <v>180</v>
      </c>
      <c r="X14" s="25">
        <v>4.6568070605275604</v>
      </c>
      <c r="Y14" s="25">
        <v>1.0140398076546537</v>
      </c>
      <c r="Z14" s="25">
        <v>-5.0925660357143885</v>
      </c>
      <c r="AA14" s="25">
        <v>-3.8418931513355918</v>
      </c>
      <c r="AB14" s="25">
        <v>-6.6233774328738435E-2</v>
      </c>
    </row>
    <row r="15" spans="1:31" x14ac:dyDescent="0.25">
      <c r="A15" t="s">
        <v>23</v>
      </c>
      <c r="B15" s="13" t="s">
        <v>17</v>
      </c>
      <c r="D15">
        <v>10.918384</v>
      </c>
      <c r="E15">
        <v>10.721681999999999</v>
      </c>
      <c r="F15">
        <v>10.657762</v>
      </c>
      <c r="G15">
        <v>11.677771</v>
      </c>
      <c r="H15" s="2">
        <f>E15</f>
        <v>10.721681999999999</v>
      </c>
      <c r="I15" t="s">
        <v>23</v>
      </c>
      <c r="J15" s="13" t="s">
        <v>17</v>
      </c>
      <c r="L15">
        <f t="shared" ref="L15:O42" si="0">(D15-D$11)/D$11*100</f>
        <v>-3.4536948177644291</v>
      </c>
      <c r="M15">
        <f t="shared" si="0"/>
        <v>-3.5870944953630168</v>
      </c>
      <c r="N15">
        <f t="shared" si="0"/>
        <v>-3.722885548634177</v>
      </c>
      <c r="O15">
        <f t="shared" si="0"/>
        <v>4.2732233469450147</v>
      </c>
      <c r="Q15" t="s">
        <v>23</v>
      </c>
      <c r="R15" s="13" t="s">
        <v>17</v>
      </c>
      <c r="S15">
        <f t="shared" ref="S15:S42" si="1">(H15-H$11)/H$11*100</f>
        <v>-3.1454629006400432</v>
      </c>
      <c r="V15" s="47"/>
      <c r="W15">
        <v>240</v>
      </c>
      <c r="X15" s="25">
        <v>12.444713723661515</v>
      </c>
      <c r="Y15" s="25">
        <v>6.2852527502328117</v>
      </c>
      <c r="Z15" s="25">
        <v>-2.4330975192958326</v>
      </c>
      <c r="AA15" s="25">
        <v>-5.0798649055035092</v>
      </c>
      <c r="AB15" s="25">
        <v>-1.0107335390507015</v>
      </c>
    </row>
    <row r="16" spans="1:31" x14ac:dyDescent="0.25">
      <c r="A16" t="s">
        <v>23</v>
      </c>
      <c r="B16" s="13" t="s">
        <v>23</v>
      </c>
      <c r="D16">
        <v>10.619084000000001</v>
      </c>
      <c r="E16">
        <v>10.496262</v>
      </c>
      <c r="F16">
        <v>10.594480000000001</v>
      </c>
      <c r="G16">
        <v>11.753565999999999</v>
      </c>
      <c r="H16" s="2">
        <f t="shared" ref="H16:H42" si="2">E16</f>
        <v>10.496262</v>
      </c>
      <c r="I16" t="s">
        <v>23</v>
      </c>
      <c r="J16" s="13" t="s">
        <v>23</v>
      </c>
      <c r="L16">
        <f t="shared" si="0"/>
        <v>-6.1002686276838265</v>
      </c>
      <c r="M16">
        <f t="shared" si="0"/>
        <v>-5.6141455829493907</v>
      </c>
      <c r="N16">
        <f t="shared" si="0"/>
        <v>-4.2945448103732975</v>
      </c>
      <c r="O16">
        <f t="shared" si="0"/>
        <v>4.9500125187468624</v>
      </c>
      <c r="Q16" t="s">
        <v>23</v>
      </c>
      <c r="R16" s="13" t="s">
        <v>23</v>
      </c>
      <c r="S16">
        <f t="shared" si="1"/>
        <v>-5.1817991539385178</v>
      </c>
    </row>
    <row r="17" spans="1:31" x14ac:dyDescent="0.25">
      <c r="A17" t="s">
        <v>23</v>
      </c>
      <c r="B17" s="13" t="s">
        <v>18</v>
      </c>
      <c r="D17">
        <v>10.394321</v>
      </c>
      <c r="E17">
        <v>10.50614</v>
      </c>
      <c r="F17">
        <v>10.919468</v>
      </c>
      <c r="G17">
        <v>12.162979999999999</v>
      </c>
      <c r="H17" s="2">
        <f t="shared" si="2"/>
        <v>10.50614</v>
      </c>
      <c r="I17" t="s">
        <v>23</v>
      </c>
      <c r="J17" s="13" t="s">
        <v>18</v>
      </c>
      <c r="L17">
        <f t="shared" si="0"/>
        <v>-8.0877456381713611</v>
      </c>
      <c r="M17">
        <f t="shared" si="0"/>
        <v>-5.5253193446245783</v>
      </c>
      <c r="N17">
        <f t="shared" si="0"/>
        <v>-1.3587589604621797</v>
      </c>
      <c r="O17">
        <f t="shared" si="0"/>
        <v>8.6057544804077075</v>
      </c>
      <c r="Q17" t="s">
        <v>23</v>
      </c>
      <c r="R17" s="13" t="s">
        <v>18</v>
      </c>
      <c r="S17">
        <f t="shared" si="1"/>
        <v>-5.0925660357143885</v>
      </c>
    </row>
    <row r="18" spans="1:31" x14ac:dyDescent="0.25">
      <c r="A18" t="s">
        <v>23</v>
      </c>
      <c r="B18" s="13" t="s">
        <v>31</v>
      </c>
      <c r="D18">
        <v>10.378399</v>
      </c>
      <c r="E18">
        <v>10.80054</v>
      </c>
      <c r="F18">
        <v>11.256772</v>
      </c>
      <c r="G18">
        <v>12.635011</v>
      </c>
      <c r="H18" s="2">
        <f t="shared" si="2"/>
        <v>10.80054</v>
      </c>
      <c r="I18" t="s">
        <v>23</v>
      </c>
      <c r="J18" s="13" t="s">
        <v>31</v>
      </c>
      <c r="L18">
        <f t="shared" si="0"/>
        <v>-8.22853664452464</v>
      </c>
      <c r="M18">
        <f t="shared" si="0"/>
        <v>-2.8779773155879877</v>
      </c>
      <c r="N18">
        <f t="shared" si="0"/>
        <v>1.6882837313246568</v>
      </c>
      <c r="O18">
        <f t="shared" si="0"/>
        <v>12.820616536675288</v>
      </c>
      <c r="Q18" t="s">
        <v>23</v>
      </c>
      <c r="R18" s="13" t="s">
        <v>31</v>
      </c>
      <c r="S18">
        <f t="shared" si="1"/>
        <v>-2.4330975192958326</v>
      </c>
    </row>
    <row r="19" spans="1:31" s="2" customFormat="1" x14ac:dyDescent="0.25">
      <c r="A19"/>
      <c r="B19" s="13"/>
      <c r="C19"/>
      <c r="D19"/>
      <c r="E19"/>
      <c r="F19"/>
      <c r="G19"/>
      <c r="I19"/>
      <c r="J19" s="13"/>
      <c r="K19"/>
      <c r="L19"/>
      <c r="M19"/>
      <c r="N19"/>
      <c r="O19"/>
      <c r="Q19"/>
      <c r="R19" s="13"/>
      <c r="S19"/>
      <c r="U19"/>
      <c r="V19"/>
      <c r="W19"/>
      <c r="X19"/>
      <c r="Y19"/>
      <c r="Z19"/>
      <c r="AA19"/>
      <c r="AB19"/>
      <c r="AC19"/>
      <c r="AD19"/>
      <c r="AE19"/>
    </row>
    <row r="20" spans="1:31" s="2" customFormat="1" x14ac:dyDescent="0.25">
      <c r="A20" t="s">
        <v>20</v>
      </c>
      <c r="B20" s="13" t="s">
        <v>30</v>
      </c>
      <c r="C20"/>
      <c r="D20">
        <v>11.009072</v>
      </c>
      <c r="E20">
        <v>10.88035</v>
      </c>
      <c r="F20">
        <v>10.764243</v>
      </c>
      <c r="G20">
        <v>10.932705</v>
      </c>
      <c r="H20" s="2">
        <f t="shared" si="2"/>
        <v>10.88035</v>
      </c>
      <c r="I20" t="s">
        <v>20</v>
      </c>
      <c r="J20" s="13" t="s">
        <v>30</v>
      </c>
      <c r="K20"/>
      <c r="L20">
        <f t="shared" si="0"/>
        <v>-2.6517820691043172</v>
      </c>
      <c r="M20">
        <f t="shared" si="0"/>
        <v>-2.1602994374038471</v>
      </c>
      <c r="N20">
        <f t="shared" si="0"/>
        <v>-2.7609872228978798</v>
      </c>
      <c r="O20">
        <f t="shared" si="0"/>
        <v>-2.3796244804541433</v>
      </c>
      <c r="Q20" t="s">
        <v>20</v>
      </c>
      <c r="R20" s="13" t="s">
        <v>30</v>
      </c>
      <c r="S20">
        <f t="shared" si="1"/>
        <v>-1.7121322261729872</v>
      </c>
      <c r="U20"/>
      <c r="V20"/>
      <c r="W20"/>
      <c r="X20"/>
      <c r="Y20"/>
      <c r="Z20"/>
      <c r="AA20"/>
      <c r="AB20"/>
      <c r="AC20"/>
      <c r="AD20"/>
      <c r="AE20"/>
    </row>
    <row r="21" spans="1:31" s="2" customFormat="1" x14ac:dyDescent="0.25">
      <c r="A21" t="s">
        <v>20</v>
      </c>
      <c r="B21" s="13" t="s">
        <v>17</v>
      </c>
      <c r="C21"/>
      <c r="D21">
        <v>10.759328999999999</v>
      </c>
      <c r="E21">
        <v>10.567055999999999</v>
      </c>
      <c r="F21">
        <v>10.573487</v>
      </c>
      <c r="G21">
        <v>11.662921000000001</v>
      </c>
      <c r="H21" s="2">
        <f t="shared" si="2"/>
        <v>10.567055999999999</v>
      </c>
      <c r="I21" t="s">
        <v>20</v>
      </c>
      <c r="J21" s="13" t="s">
        <v>17</v>
      </c>
      <c r="K21"/>
      <c r="L21">
        <f t="shared" si="0"/>
        <v>-4.8601458613218389</v>
      </c>
      <c r="M21">
        <f t="shared" si="0"/>
        <v>-4.9775425544045033</v>
      </c>
      <c r="N21">
        <f t="shared" si="0"/>
        <v>-4.484185512021317</v>
      </c>
      <c r="O21">
        <f t="shared" si="0"/>
        <v>4.1406246372510118</v>
      </c>
      <c r="Q21" t="s">
        <v>20</v>
      </c>
      <c r="R21" s="13" t="s">
        <v>17</v>
      </c>
      <c r="S21">
        <f t="shared" si="1"/>
        <v>-4.542280084130998</v>
      </c>
      <c r="U21"/>
      <c r="V21"/>
      <c r="W21"/>
      <c r="X21"/>
      <c r="Y21"/>
      <c r="Z21"/>
      <c r="AA21"/>
      <c r="AB21"/>
      <c r="AC21"/>
      <c r="AD21"/>
      <c r="AE21"/>
    </row>
    <row r="22" spans="1:31" s="2" customFormat="1" x14ac:dyDescent="0.25">
      <c r="A22" t="s">
        <v>21</v>
      </c>
      <c r="B22" s="13" t="s">
        <v>23</v>
      </c>
      <c r="C22"/>
      <c r="D22">
        <v>10.495385000000001</v>
      </c>
      <c r="E22">
        <v>10.66757</v>
      </c>
      <c r="F22">
        <v>11.018117</v>
      </c>
      <c r="G22">
        <v>12.269337</v>
      </c>
      <c r="H22" s="2">
        <f t="shared" si="2"/>
        <v>10.66757</v>
      </c>
      <c r="I22" t="s">
        <v>21</v>
      </c>
      <c r="J22" s="13" t="s">
        <v>23</v>
      </c>
      <c r="K22"/>
      <c r="L22">
        <f t="shared" si="0"/>
        <v>-7.1940826394219544</v>
      </c>
      <c r="M22">
        <f t="shared" si="0"/>
        <v>-4.0736874704826773</v>
      </c>
      <c r="N22">
        <f t="shared" si="0"/>
        <v>-0.46761116944256553</v>
      </c>
      <c r="O22">
        <f t="shared" si="0"/>
        <v>9.5554380472040705</v>
      </c>
      <c r="Q22" t="s">
        <v>21</v>
      </c>
      <c r="R22" s="13" t="s">
        <v>23</v>
      </c>
      <c r="S22">
        <f t="shared" si="1"/>
        <v>-3.6342847768643667</v>
      </c>
      <c r="U22"/>
      <c r="V22"/>
      <c r="W22"/>
      <c r="X22"/>
      <c r="Y22"/>
      <c r="Z22"/>
      <c r="AA22"/>
      <c r="AB22"/>
      <c r="AC22"/>
      <c r="AD22"/>
      <c r="AE22"/>
    </row>
    <row r="23" spans="1:31" s="2" customFormat="1" x14ac:dyDescent="0.25">
      <c r="A23" t="s">
        <v>20</v>
      </c>
      <c r="B23" s="13" t="s">
        <v>18</v>
      </c>
      <c r="C23"/>
      <c r="D23">
        <v>10.615292</v>
      </c>
      <c r="E23">
        <v>11.182134</v>
      </c>
      <c r="F23">
        <v>11.561756000000001</v>
      </c>
      <c r="G23">
        <v>13.064632</v>
      </c>
      <c r="H23" s="2">
        <f t="shared" si="2"/>
        <v>11.182134</v>
      </c>
      <c r="I23" t="s">
        <v>20</v>
      </c>
      <c r="J23" s="13" t="s">
        <v>18</v>
      </c>
      <c r="K23"/>
      <c r="L23">
        <f t="shared" si="0"/>
        <v>-6.1337995594820764</v>
      </c>
      <c r="M23">
        <f t="shared" si="0"/>
        <v>0.55344195828493858</v>
      </c>
      <c r="N23">
        <f t="shared" si="0"/>
        <v>4.4433630316351209</v>
      </c>
      <c r="O23">
        <f t="shared" si="0"/>
        <v>16.656790964786421</v>
      </c>
      <c r="Q23" t="s">
        <v>20</v>
      </c>
      <c r="R23" s="13" t="s">
        <v>18</v>
      </c>
      <c r="S23">
        <f t="shared" si="1"/>
        <v>1.0140398076546537</v>
      </c>
      <c r="U23"/>
      <c r="V23"/>
      <c r="W23"/>
      <c r="X23"/>
      <c r="Y23"/>
      <c r="Z23"/>
      <c r="AA23"/>
      <c r="AB23"/>
      <c r="AC23"/>
      <c r="AD23"/>
      <c r="AE23"/>
    </row>
    <row r="24" spans="1:31" s="2" customFormat="1" x14ac:dyDescent="0.25">
      <c r="A24" t="s">
        <v>20</v>
      </c>
      <c r="B24" s="13" t="s">
        <v>31</v>
      </c>
      <c r="C24"/>
      <c r="D24">
        <v>11.230423</v>
      </c>
      <c r="E24">
        <v>11.765651</v>
      </c>
      <c r="F24">
        <v>12.152825</v>
      </c>
      <c r="G24">
        <v>13.876481999999999</v>
      </c>
      <c r="H24" s="2">
        <f t="shared" si="2"/>
        <v>11.765651</v>
      </c>
      <c r="I24" t="s">
        <v>20</v>
      </c>
      <c r="J24" s="13" t="s">
        <v>31</v>
      </c>
      <c r="K24"/>
      <c r="L24">
        <f t="shared" si="0"/>
        <v>-0.69447582319896584</v>
      </c>
      <c r="M24">
        <f t="shared" si="0"/>
        <v>5.800619535585712</v>
      </c>
      <c r="N24">
        <f t="shared" si="0"/>
        <v>9.7827971231127009</v>
      </c>
      <c r="O24">
        <f t="shared" si="0"/>
        <v>23.905966888360989</v>
      </c>
      <c r="Q24" t="s">
        <v>20</v>
      </c>
      <c r="R24" s="13" t="s">
        <v>31</v>
      </c>
      <c r="S24">
        <f t="shared" si="1"/>
        <v>6.2852527502328117</v>
      </c>
      <c r="U24"/>
      <c r="V24"/>
      <c r="W24"/>
      <c r="X24"/>
      <c r="Y24"/>
      <c r="Z24"/>
      <c r="AA24"/>
      <c r="AB24"/>
      <c r="AC24"/>
      <c r="AD24"/>
      <c r="AE24"/>
    </row>
    <row r="26" spans="1:31" x14ac:dyDescent="0.25">
      <c r="A26" t="s">
        <v>22</v>
      </c>
      <c r="B26" s="13" t="s">
        <v>30</v>
      </c>
      <c r="D26">
        <v>11.223573999999999</v>
      </c>
      <c r="E26">
        <v>11.021634000000001</v>
      </c>
      <c r="F26">
        <v>10.964835000000001</v>
      </c>
      <c r="G26">
        <v>11.866345000000001</v>
      </c>
      <c r="H26" s="2">
        <f t="shared" si="2"/>
        <v>11.021634000000001</v>
      </c>
      <c r="I26" t="s">
        <v>22</v>
      </c>
      <c r="J26" s="13" t="s">
        <v>30</v>
      </c>
      <c r="L26">
        <f t="shared" si="0"/>
        <v>-0.755038415995959</v>
      </c>
      <c r="M26">
        <f t="shared" si="0"/>
        <v>-0.88982704871360307</v>
      </c>
      <c r="N26">
        <f t="shared" si="0"/>
        <v>-0.94893522342290537</v>
      </c>
      <c r="O26">
        <f t="shared" si="0"/>
        <v>5.9570394467321144</v>
      </c>
      <c r="Q26" t="s">
        <v>22</v>
      </c>
      <c r="R26" s="13" t="s">
        <v>30</v>
      </c>
      <c r="S26">
        <f t="shared" si="1"/>
        <v>-0.43584027687379767</v>
      </c>
    </row>
    <row r="27" spans="1:31" s="2" customFormat="1" x14ac:dyDescent="0.25">
      <c r="A27" t="s">
        <v>22</v>
      </c>
      <c r="B27" s="13" t="s">
        <v>17</v>
      </c>
      <c r="C27"/>
      <c r="D27">
        <v>11.147981</v>
      </c>
      <c r="E27">
        <v>10.916016000000001</v>
      </c>
      <c r="F27">
        <v>10.850552</v>
      </c>
      <c r="G27">
        <v>10.959847</v>
      </c>
      <c r="H27" s="2">
        <f t="shared" si="2"/>
        <v>10.916016000000001</v>
      </c>
      <c r="I27" t="s">
        <v>22</v>
      </c>
      <c r="J27" s="13" t="s">
        <v>17</v>
      </c>
      <c r="K27"/>
      <c r="L27">
        <f t="shared" si="0"/>
        <v>-1.4234729432703883</v>
      </c>
      <c r="M27">
        <f t="shared" si="0"/>
        <v>-1.8395789862910024</v>
      </c>
      <c r="N27">
        <f t="shared" si="0"/>
        <v>-1.9813130782526036</v>
      </c>
      <c r="O27">
        <f t="shared" si="0"/>
        <v>-2.1372679701164481</v>
      </c>
      <c r="Q27" t="s">
        <v>22</v>
      </c>
      <c r="R27" s="13" t="s">
        <v>17</v>
      </c>
      <c r="S27">
        <f t="shared" si="1"/>
        <v>-1.3899426741805057</v>
      </c>
      <c r="U27"/>
      <c r="V27"/>
      <c r="W27"/>
      <c r="X27"/>
      <c r="Y27"/>
      <c r="Z27"/>
      <c r="AA27"/>
      <c r="AB27"/>
      <c r="AC27"/>
      <c r="AD27"/>
      <c r="AE27"/>
    </row>
    <row r="28" spans="1:31" s="2" customFormat="1" x14ac:dyDescent="0.25">
      <c r="A28" t="s">
        <v>22</v>
      </c>
      <c r="B28" s="13" t="s">
        <v>23</v>
      </c>
      <c r="C28"/>
      <c r="D28">
        <v>10.998481999999999</v>
      </c>
      <c r="E28">
        <v>10.708437</v>
      </c>
      <c r="F28">
        <v>10.636528</v>
      </c>
      <c r="G28">
        <v>11.667160000000001</v>
      </c>
      <c r="H28" s="2">
        <f t="shared" si="2"/>
        <v>10.708437</v>
      </c>
      <c r="I28" t="s">
        <v>22</v>
      </c>
      <c r="J28" s="13" t="s">
        <v>23</v>
      </c>
      <c r="K28"/>
      <c r="L28">
        <f t="shared" si="0"/>
        <v>-2.7454246238889746</v>
      </c>
      <c r="M28">
        <f t="shared" si="0"/>
        <v>-3.706197909678874</v>
      </c>
      <c r="N28">
        <f t="shared" si="0"/>
        <v>-3.9147033287891744</v>
      </c>
      <c r="O28">
        <f t="shared" si="0"/>
        <v>4.178475541654576</v>
      </c>
      <c r="Q28" t="s">
        <v>22</v>
      </c>
      <c r="R28" s="13" t="s">
        <v>23</v>
      </c>
      <c r="S28">
        <f t="shared" si="1"/>
        <v>-3.2651118833165462</v>
      </c>
      <c r="U28"/>
      <c r="V28"/>
      <c r="W28"/>
      <c r="X28"/>
      <c r="Y28"/>
      <c r="Z28"/>
      <c r="AA28"/>
      <c r="AB28"/>
      <c r="AC28"/>
      <c r="AD28"/>
      <c r="AE28"/>
    </row>
    <row r="29" spans="1:31" s="2" customFormat="1" x14ac:dyDescent="0.25">
      <c r="A29" t="s">
        <v>22</v>
      </c>
      <c r="B29" s="13" t="s">
        <v>18</v>
      </c>
      <c r="C29"/>
      <c r="D29">
        <v>10.790494000000001</v>
      </c>
      <c r="E29">
        <v>10.644588000000001</v>
      </c>
      <c r="F29">
        <v>10.548038</v>
      </c>
      <c r="G29">
        <v>11.725153000000001</v>
      </c>
      <c r="H29" s="2">
        <f t="shared" si="2"/>
        <v>10.644588000000001</v>
      </c>
      <c r="I29" t="s">
        <v>22</v>
      </c>
      <c r="J29" s="13" t="s">
        <v>18</v>
      </c>
      <c r="K29"/>
      <c r="L29">
        <f t="shared" si="0"/>
        <v>-4.5845679368776615</v>
      </c>
      <c r="M29">
        <f t="shared" si="0"/>
        <v>-4.2803492045564422</v>
      </c>
      <c r="N29">
        <f t="shared" si="0"/>
        <v>-4.7140795822466428</v>
      </c>
      <c r="O29">
        <f t="shared" si="0"/>
        <v>4.6963069875323349</v>
      </c>
      <c r="Q29" t="s">
        <v>22</v>
      </c>
      <c r="R29" s="13" t="s">
        <v>18</v>
      </c>
      <c r="S29">
        <f t="shared" si="1"/>
        <v>-3.8418931513355918</v>
      </c>
      <c r="U29"/>
      <c r="V29"/>
      <c r="W29"/>
      <c r="X29"/>
      <c r="Y29"/>
      <c r="Z29"/>
      <c r="AA29"/>
      <c r="AB29"/>
      <c r="AC29"/>
      <c r="AD29"/>
      <c r="AE29"/>
    </row>
    <row r="30" spans="1:31" s="2" customFormat="1" x14ac:dyDescent="0.25">
      <c r="A30" t="s">
        <v>22</v>
      </c>
      <c r="B30" s="13" t="s">
        <v>31</v>
      </c>
      <c r="C30"/>
      <c r="D30">
        <v>10.662549</v>
      </c>
      <c r="E30">
        <v>10.507546</v>
      </c>
      <c r="F30">
        <v>10.67536</v>
      </c>
      <c r="G30">
        <v>11.898202</v>
      </c>
      <c r="H30" s="2">
        <f t="shared" si="2"/>
        <v>10.507546</v>
      </c>
      <c r="I30" t="s">
        <v>22</v>
      </c>
      <c r="J30" s="13" t="s">
        <v>31</v>
      </c>
      <c r="K30"/>
      <c r="L30">
        <f t="shared" si="0"/>
        <v>-5.7159273959827051</v>
      </c>
      <c r="M30">
        <f t="shared" si="0"/>
        <v>-5.512676128276671</v>
      </c>
      <c r="N30">
        <f t="shared" si="0"/>
        <v>-3.5639136500202757</v>
      </c>
      <c r="O30">
        <f t="shared" si="0"/>
        <v>6.2414971635484058</v>
      </c>
      <c r="Q30" t="s">
        <v>22</v>
      </c>
      <c r="R30" s="13" t="s">
        <v>31</v>
      </c>
      <c r="S30">
        <f t="shared" si="1"/>
        <v>-5.0798649055035092</v>
      </c>
      <c r="U30"/>
      <c r="V30"/>
      <c r="W30"/>
      <c r="X30"/>
      <c r="Y30"/>
      <c r="Z30"/>
      <c r="AA30"/>
      <c r="AB30"/>
      <c r="AC30"/>
      <c r="AD30"/>
      <c r="AE30"/>
    </row>
    <row r="31" spans="1:31" s="2" customFormat="1" x14ac:dyDescent="0.25">
      <c r="A31"/>
      <c r="B31"/>
      <c r="C31"/>
      <c r="D31"/>
      <c r="E31"/>
      <c r="F31"/>
      <c r="G31"/>
      <c r="I31"/>
      <c r="J31"/>
      <c r="K31"/>
      <c r="L31"/>
      <c r="M31"/>
      <c r="N31"/>
      <c r="O31"/>
      <c r="Q31"/>
      <c r="R31"/>
      <c r="S31"/>
      <c r="U31"/>
      <c r="V31"/>
      <c r="W31"/>
      <c r="X31"/>
      <c r="Y31"/>
      <c r="Z31"/>
      <c r="AA31"/>
      <c r="AB31"/>
      <c r="AC31"/>
      <c r="AD31"/>
      <c r="AE31"/>
    </row>
    <row r="32" spans="1:31" s="2" customFormat="1" x14ac:dyDescent="0.25">
      <c r="A32" t="s">
        <v>29</v>
      </c>
      <c r="B32" s="13" t="s">
        <v>30</v>
      </c>
      <c r="C32"/>
      <c r="D32">
        <v>10.966125999999999</v>
      </c>
      <c r="E32">
        <v>10.772736999999999</v>
      </c>
      <c r="F32">
        <v>10.736160999999999</v>
      </c>
      <c r="G32">
        <v>11.737309</v>
      </c>
      <c r="H32" s="2">
        <f t="shared" si="2"/>
        <v>10.772736999999999</v>
      </c>
      <c r="I32" t="s">
        <v>29</v>
      </c>
      <c r="J32" s="13" t="s">
        <v>30</v>
      </c>
      <c r="K32"/>
      <c r="L32">
        <f t="shared" si="0"/>
        <v>-3.0315340197919234</v>
      </c>
      <c r="M32">
        <f t="shared" si="0"/>
        <v>-3.1279910738532921</v>
      </c>
      <c r="N32">
        <f t="shared" si="0"/>
        <v>-3.0146665533261046</v>
      </c>
      <c r="O32">
        <f t="shared" si="0"/>
        <v>4.8048504161545758</v>
      </c>
      <c r="Q32" t="s">
        <v>29</v>
      </c>
      <c r="R32" s="13" t="s">
        <v>30</v>
      </c>
      <c r="S32">
        <f t="shared" si="1"/>
        <v>-2.68425649742758</v>
      </c>
      <c r="U32"/>
      <c r="V32"/>
      <c r="W32"/>
      <c r="X32"/>
      <c r="Y32"/>
      <c r="Z32"/>
      <c r="AA32"/>
      <c r="AB32"/>
      <c r="AC32"/>
      <c r="AD32"/>
      <c r="AE32"/>
    </row>
    <row r="33" spans="1:31" s="2" customFormat="1" x14ac:dyDescent="0.25">
      <c r="A33" t="s">
        <v>29</v>
      </c>
      <c r="B33" s="13" t="s">
        <v>17</v>
      </c>
      <c r="C33"/>
      <c r="D33">
        <v>10.697136</v>
      </c>
      <c r="E33">
        <v>10.606869</v>
      </c>
      <c r="F33">
        <v>10.618784</v>
      </c>
      <c r="G33">
        <v>11.725833</v>
      </c>
      <c r="H33" s="2">
        <f t="shared" si="2"/>
        <v>10.606869</v>
      </c>
      <c r="I33" t="s">
        <v>29</v>
      </c>
      <c r="J33" s="13" t="s">
        <v>17</v>
      </c>
      <c r="K33"/>
      <c r="L33">
        <f t="shared" si="0"/>
        <v>-5.4100902815033107</v>
      </c>
      <c r="M33">
        <f t="shared" si="0"/>
        <v>-4.6195309096965023</v>
      </c>
      <c r="N33">
        <f t="shared" si="0"/>
        <v>-4.0749941214363616</v>
      </c>
      <c r="O33">
        <f t="shared" si="0"/>
        <v>4.702378847639527</v>
      </c>
      <c r="Q33" t="s">
        <v>29</v>
      </c>
      <c r="R33" s="13" t="s">
        <v>17</v>
      </c>
      <c r="S33">
        <f t="shared" si="1"/>
        <v>-4.182628521480952</v>
      </c>
      <c r="U33"/>
      <c r="V33"/>
      <c r="W33"/>
      <c r="X33"/>
      <c r="Y33"/>
      <c r="Z33"/>
      <c r="AA33"/>
      <c r="AB33"/>
      <c r="AC33"/>
      <c r="AD33"/>
      <c r="AE33"/>
    </row>
    <row r="34" spans="1:31" s="2" customFormat="1" x14ac:dyDescent="0.25">
      <c r="A34" t="s">
        <v>29</v>
      </c>
      <c r="B34" s="13" t="s">
        <v>23</v>
      </c>
      <c r="C34"/>
      <c r="D34">
        <v>10.519177000000001</v>
      </c>
      <c r="E34">
        <v>10.837084000000001</v>
      </c>
      <c r="F34">
        <v>11.294568999999999</v>
      </c>
      <c r="G34">
        <v>12.59685</v>
      </c>
      <c r="H34" s="2">
        <f t="shared" si="2"/>
        <v>10.837084000000001</v>
      </c>
      <c r="I34" t="s">
        <v>29</v>
      </c>
      <c r="J34" s="13" t="s">
        <v>23</v>
      </c>
      <c r="K34"/>
      <c r="L34">
        <f t="shared" si="0"/>
        <v>-6.9837008015148268</v>
      </c>
      <c r="M34">
        <f t="shared" si="0"/>
        <v>-2.549361598505393</v>
      </c>
      <c r="N34">
        <f t="shared" si="0"/>
        <v>2.0297237160905222</v>
      </c>
      <c r="O34">
        <f t="shared" si="0"/>
        <v>12.479869104982818</v>
      </c>
      <c r="Q34" t="s">
        <v>29</v>
      </c>
      <c r="R34" s="13" t="s">
        <v>23</v>
      </c>
      <c r="S34">
        <f t="shared" si="1"/>
        <v>-2.102976536062128</v>
      </c>
      <c r="U34"/>
      <c r="V34"/>
      <c r="W34"/>
      <c r="X34"/>
      <c r="Y34"/>
      <c r="Z34"/>
      <c r="AA34"/>
      <c r="AB34"/>
      <c r="AC34"/>
      <c r="AD34"/>
      <c r="AE34"/>
    </row>
    <row r="35" spans="1:31" s="2" customFormat="1" x14ac:dyDescent="0.25">
      <c r="A35" t="s">
        <v>29</v>
      </c>
      <c r="B35" s="13" t="s">
        <v>18</v>
      </c>
      <c r="C35"/>
      <c r="D35">
        <v>11.024715</v>
      </c>
      <c r="E35">
        <v>11.585383999999999</v>
      </c>
      <c r="F35">
        <v>11.96041</v>
      </c>
      <c r="G35">
        <v>13.640927</v>
      </c>
      <c r="H35" s="2">
        <f t="shared" si="2"/>
        <v>11.585383999999999</v>
      </c>
      <c r="I35" t="s">
        <v>29</v>
      </c>
      <c r="J35" s="13" t="s">
        <v>18</v>
      </c>
      <c r="K35"/>
      <c r="L35">
        <f t="shared" si="0"/>
        <v>-2.5134581328912495</v>
      </c>
      <c r="M35">
        <f t="shared" si="0"/>
        <v>4.1795991363046614</v>
      </c>
      <c r="N35">
        <f t="shared" si="0"/>
        <v>8.0446122230220816</v>
      </c>
      <c r="O35">
        <f t="shared" si="0"/>
        <v>21.802647759608625</v>
      </c>
      <c r="Q35" t="s">
        <v>29</v>
      </c>
      <c r="R35" s="13" t="s">
        <v>18</v>
      </c>
      <c r="S35">
        <f t="shared" si="1"/>
        <v>4.6568070605275604</v>
      </c>
      <c r="U35"/>
      <c r="V35"/>
      <c r="W35"/>
      <c r="X35"/>
      <c r="Y35"/>
      <c r="Z35"/>
      <c r="AA35"/>
      <c r="AB35"/>
      <c r="AC35"/>
      <c r="AD35"/>
      <c r="AE35"/>
    </row>
    <row r="36" spans="1:31" x14ac:dyDescent="0.25">
      <c r="A36" t="s">
        <v>29</v>
      </c>
      <c r="B36" s="13" t="s">
        <v>31</v>
      </c>
      <c r="D36">
        <v>12.013450000000001</v>
      </c>
      <c r="E36">
        <v>12.447495999999999</v>
      </c>
      <c r="F36">
        <v>12.884050999999999</v>
      </c>
      <c r="G36">
        <v>14.667769</v>
      </c>
      <c r="H36" s="2">
        <f t="shared" si="2"/>
        <v>12.447495999999999</v>
      </c>
      <c r="I36" t="s">
        <v>29</v>
      </c>
      <c r="J36" s="13" t="s">
        <v>31</v>
      </c>
      <c r="L36">
        <f t="shared" si="0"/>
        <v>6.2294758996869879</v>
      </c>
      <c r="M36">
        <f t="shared" si="0"/>
        <v>11.931994962856276</v>
      </c>
      <c r="N36">
        <f t="shared" si="0"/>
        <v>16.388342385975051</v>
      </c>
      <c r="O36">
        <f t="shared" si="0"/>
        <v>30.97153154813503</v>
      </c>
      <c r="Q36" t="s">
        <v>29</v>
      </c>
      <c r="R36" s="13" t="s">
        <v>31</v>
      </c>
      <c r="S36">
        <f t="shared" si="1"/>
        <v>12.444713723661515</v>
      </c>
    </row>
    <row r="38" spans="1:31" x14ac:dyDescent="0.25">
      <c r="A38" t="s">
        <v>32</v>
      </c>
      <c r="B38" s="13" t="s">
        <v>30</v>
      </c>
      <c r="D38">
        <v>11.310814000000001</v>
      </c>
      <c r="E38">
        <v>11.104461000000001</v>
      </c>
      <c r="F38">
        <v>11.040324999999999</v>
      </c>
      <c r="G38">
        <v>11.172492999999999</v>
      </c>
      <c r="H38" s="2">
        <f t="shared" si="2"/>
        <v>11.104461000000001</v>
      </c>
      <c r="I38" t="s">
        <v>32</v>
      </c>
      <c r="J38" s="13" t="s">
        <v>30</v>
      </c>
      <c r="L38">
        <f t="shared" si="0"/>
        <v>1.6385236450992702E-2</v>
      </c>
      <c r="M38">
        <f t="shared" si="0"/>
        <v>-0.14501931012999594</v>
      </c>
      <c r="N38">
        <f t="shared" si="0"/>
        <v>-0.26699474005186907</v>
      </c>
      <c r="O38">
        <f t="shared" si="0"/>
        <v>-0.23850802253446401</v>
      </c>
      <c r="Q38" t="s">
        <v>32</v>
      </c>
      <c r="R38" s="13" t="s">
        <v>30</v>
      </c>
      <c r="S38">
        <f t="shared" si="1"/>
        <v>0.31237914842987069</v>
      </c>
    </row>
    <row r="39" spans="1:31" x14ac:dyDescent="0.25">
      <c r="A39" t="s">
        <v>32</v>
      </c>
      <c r="B39" s="13" t="s">
        <v>17</v>
      </c>
      <c r="D39">
        <v>11.305054</v>
      </c>
      <c r="E39">
        <v>11.089324</v>
      </c>
      <c r="F39">
        <v>11.031395</v>
      </c>
      <c r="G39">
        <v>11.893654</v>
      </c>
      <c r="H39" s="2">
        <f t="shared" si="2"/>
        <v>11.089324</v>
      </c>
      <c r="I39" t="s">
        <v>32</v>
      </c>
      <c r="J39" s="13" t="s">
        <v>17</v>
      </c>
      <c r="L39">
        <f t="shared" si="0"/>
        <v>-3.4547824508368921E-2</v>
      </c>
      <c r="M39">
        <f t="shared" si="0"/>
        <v>-0.28113621330095301</v>
      </c>
      <c r="N39">
        <f t="shared" si="0"/>
        <v>-0.34766408058045684</v>
      </c>
      <c r="O39">
        <f t="shared" si="0"/>
        <v>6.2008871344784842</v>
      </c>
      <c r="Q39" t="s">
        <v>32</v>
      </c>
      <c r="R39" s="13" t="s">
        <v>17</v>
      </c>
      <c r="S39">
        <f t="shared" si="1"/>
        <v>0.17563874444539185</v>
      </c>
    </row>
    <row r="40" spans="1:31" x14ac:dyDescent="0.25">
      <c r="A40" t="s">
        <v>32</v>
      </c>
      <c r="B40" s="13" t="s">
        <v>23</v>
      </c>
      <c r="D40">
        <v>11.283455999999999</v>
      </c>
      <c r="E40">
        <v>11.074479</v>
      </c>
      <c r="F40">
        <v>10.975165000000001</v>
      </c>
      <c r="G40">
        <v>11.05641</v>
      </c>
      <c r="H40" s="2">
        <f t="shared" si="2"/>
        <v>11.074479</v>
      </c>
      <c r="I40" t="s">
        <v>32</v>
      </c>
      <c r="J40" s="13" t="s">
        <v>23</v>
      </c>
      <c r="L40">
        <f t="shared" si="0"/>
        <v>-0.22552911801535769</v>
      </c>
      <c r="M40">
        <f t="shared" si="0"/>
        <v>-0.41462735603548584</v>
      </c>
      <c r="N40">
        <f t="shared" si="0"/>
        <v>-0.85561895380808528</v>
      </c>
      <c r="O40">
        <f t="shared" si="0"/>
        <v>-1.2750370472758628</v>
      </c>
      <c r="Q40" t="s">
        <v>32</v>
      </c>
      <c r="R40" s="13" t="s">
        <v>23</v>
      </c>
      <c r="S40">
        <f t="shared" si="1"/>
        <v>4.1536128527485144E-2</v>
      </c>
    </row>
    <row r="41" spans="1:31" x14ac:dyDescent="0.25">
      <c r="A41" t="s">
        <v>32</v>
      </c>
      <c r="B41" s="13" t="s">
        <v>18</v>
      </c>
      <c r="D41">
        <v>11.269328</v>
      </c>
      <c r="E41">
        <v>11.062549000000001</v>
      </c>
      <c r="F41">
        <v>10.880064000000001</v>
      </c>
      <c r="G41">
        <v>11.786064</v>
      </c>
      <c r="H41" s="2">
        <f t="shared" si="2"/>
        <v>11.062549000000001</v>
      </c>
      <c r="I41" t="s">
        <v>32</v>
      </c>
      <c r="J41" s="13" t="s">
        <v>18</v>
      </c>
      <c r="L41">
        <f t="shared" si="0"/>
        <v>-0.35045659809066676</v>
      </c>
      <c r="M41">
        <f t="shared" si="0"/>
        <v>-0.52190585605724327</v>
      </c>
      <c r="N41">
        <f t="shared" si="0"/>
        <v>-1.7147158131148805</v>
      </c>
      <c r="O41">
        <f t="shared" si="0"/>
        <v>5.2401938566348081</v>
      </c>
      <c r="Q41" t="s">
        <v>32</v>
      </c>
      <c r="R41" s="13" t="s">
        <v>18</v>
      </c>
      <c r="S41">
        <f t="shared" si="1"/>
        <v>-6.6233774328738435E-2</v>
      </c>
    </row>
    <row r="42" spans="1:31" x14ac:dyDescent="0.25">
      <c r="A42" t="s">
        <v>32</v>
      </c>
      <c r="B42" s="13" t="s">
        <v>31</v>
      </c>
      <c r="D42">
        <v>11.252209000000001</v>
      </c>
      <c r="E42">
        <v>10.957993999999999</v>
      </c>
      <c r="F42">
        <v>10.836492</v>
      </c>
      <c r="G42">
        <v>11.779783999999999</v>
      </c>
      <c r="H42" s="2">
        <f t="shared" si="2"/>
        <v>10.957993999999999</v>
      </c>
      <c r="I42" t="s">
        <v>32</v>
      </c>
      <c r="J42" s="13" t="s">
        <v>31</v>
      </c>
      <c r="L42">
        <f t="shared" si="0"/>
        <v>-0.50183213117455683</v>
      </c>
      <c r="M42">
        <f t="shared" si="0"/>
        <v>-1.4620989465664975</v>
      </c>
      <c r="N42">
        <f t="shared" si="0"/>
        <v>-2.1083243803614575</v>
      </c>
      <c r="O42">
        <f t="shared" si="0"/>
        <v>5.1841184427036016</v>
      </c>
      <c r="Q42" t="s">
        <v>32</v>
      </c>
      <c r="R42" s="13" t="s">
        <v>31</v>
      </c>
      <c r="S42">
        <f t="shared" si="1"/>
        <v>-1.0107335390507015</v>
      </c>
    </row>
    <row r="45" spans="1:31" x14ac:dyDescent="0.25">
      <c r="H45" s="2">
        <f t="shared" ref="H45:H51" si="3">E45</f>
        <v>0</v>
      </c>
    </row>
    <row r="46" spans="1:31" x14ac:dyDescent="0.25">
      <c r="H46" s="2">
        <f t="shared" si="3"/>
        <v>0</v>
      </c>
    </row>
    <row r="47" spans="1:31" x14ac:dyDescent="0.25">
      <c r="H47" s="2">
        <f t="shared" si="3"/>
        <v>0</v>
      </c>
    </row>
    <row r="48" spans="1:31" x14ac:dyDescent="0.25">
      <c r="H48" s="2">
        <f t="shared" si="3"/>
        <v>0</v>
      </c>
    </row>
    <row r="49" spans="8:8" x14ac:dyDescent="0.25">
      <c r="H49" s="2">
        <f t="shared" si="3"/>
        <v>0</v>
      </c>
    </row>
    <row r="50" spans="8:8" x14ac:dyDescent="0.25">
      <c r="H50" s="2">
        <f t="shared" si="3"/>
        <v>0</v>
      </c>
    </row>
    <row r="51" spans="8:8" x14ac:dyDescent="0.25">
      <c r="H51" s="2">
        <f t="shared" si="3"/>
        <v>0</v>
      </c>
    </row>
  </sheetData>
  <mergeCells count="3">
    <mergeCell ref="V9:W10"/>
    <mergeCell ref="X9:AA9"/>
    <mergeCell ref="V11:V15"/>
  </mergeCells>
  <conditionalFormatting sqref="X11:AB15">
    <cfRule type="colorScale" priority="1">
      <colorScale>
        <cfvo type="min"/>
        <cfvo type="num" val="0"/>
        <cfvo type="max"/>
        <color rgb="FF63BE7B"/>
        <color rgb="FFFCFCFF"/>
        <color rgb="FFF8696B"/>
      </colorScale>
    </cfRule>
  </conditionalFormatting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ED7EA-4B68-4C01-9553-2663ADA685DA}">
  <dimension ref="A5:AG51"/>
  <sheetViews>
    <sheetView zoomScale="70" zoomScaleNormal="70" workbookViewId="0">
      <selection activeCell="K55" sqref="K55"/>
    </sheetView>
  </sheetViews>
  <sheetFormatPr defaultColWidth="8.5703125" defaultRowHeight="15" x14ac:dyDescent="0.25"/>
  <cols>
    <col min="2" max="2" width="12.28515625" customWidth="1"/>
    <col min="8" max="8" width="10.5703125" style="2" bestFit="1" customWidth="1"/>
    <col min="9" max="10" width="10.5703125" style="2" customWidth="1"/>
    <col min="11" max="11" width="14.42578125" customWidth="1"/>
    <col min="12" max="12" width="10" bestFit="1" customWidth="1"/>
    <col min="18" max="18" width="8.85546875" style="2" customWidth="1"/>
    <col min="19" max="20" width="11.5703125" customWidth="1"/>
    <col min="22" max="22" width="8.85546875" style="2" customWidth="1"/>
    <col min="24" max="24" width="18.28515625" customWidth="1"/>
  </cols>
  <sheetData>
    <row r="5" spans="1:33" x14ac:dyDescent="0.25">
      <c r="AB5" t="s">
        <v>26</v>
      </c>
      <c r="AC5" s="6">
        <v>7.1800000000000003E-2</v>
      </c>
      <c r="AD5" s="6">
        <f>AE5/2</f>
        <v>0.14344999999999999</v>
      </c>
      <c r="AE5" s="6">
        <v>0.28689999999999999</v>
      </c>
      <c r="AF5" s="6">
        <v>0.43049999999999999</v>
      </c>
      <c r="AG5" s="6">
        <v>0.57410000000000005</v>
      </c>
    </row>
    <row r="6" spans="1:33" x14ac:dyDescent="0.25">
      <c r="AB6" t="s">
        <v>18</v>
      </c>
      <c r="AC6">
        <v>30</v>
      </c>
      <c r="AD6">
        <v>60</v>
      </c>
      <c r="AE6">
        <v>120</v>
      </c>
      <c r="AF6">
        <v>180</v>
      </c>
      <c r="AG6">
        <v>240</v>
      </c>
    </row>
    <row r="7" spans="1:33" x14ac:dyDescent="0.25">
      <c r="B7" t="s">
        <v>7</v>
      </c>
      <c r="K7" t="s">
        <v>8</v>
      </c>
      <c r="S7" t="s">
        <v>24</v>
      </c>
      <c r="W7" t="s">
        <v>9</v>
      </c>
    </row>
    <row r="8" spans="1:33" x14ac:dyDescent="0.25">
      <c r="B8" s="1" t="s">
        <v>10</v>
      </c>
      <c r="C8">
        <v>0.56399999999999995</v>
      </c>
      <c r="D8">
        <v>0.60399999999999998</v>
      </c>
      <c r="E8">
        <v>0.64400000000000002</v>
      </c>
      <c r="F8">
        <v>0.68400000000000005</v>
      </c>
      <c r="G8">
        <v>0.72399999999999998</v>
      </c>
      <c r="K8" s="1" t="s">
        <v>10</v>
      </c>
      <c r="L8" s="1"/>
      <c r="N8">
        <v>0.60799999999999998</v>
      </c>
      <c r="O8">
        <v>0.64800000000000002</v>
      </c>
      <c r="P8">
        <v>0.6835</v>
      </c>
      <c r="Q8">
        <v>0.72350000000000003</v>
      </c>
    </row>
    <row r="9" spans="1:33" x14ac:dyDescent="0.25">
      <c r="X9" s="48" t="s">
        <v>34</v>
      </c>
      <c r="Y9" s="48"/>
      <c r="Z9" s="49" t="s">
        <v>11</v>
      </c>
      <c r="AA9" s="49"/>
      <c r="AB9" s="49"/>
      <c r="AC9" s="49"/>
    </row>
    <row r="10" spans="1:33" x14ac:dyDescent="0.25">
      <c r="H10" s="2" t="s">
        <v>25</v>
      </c>
      <c r="I10" s="2" t="s">
        <v>38</v>
      </c>
      <c r="J10" s="2" t="s">
        <v>39</v>
      </c>
      <c r="X10" s="48"/>
      <c r="Y10" s="48"/>
      <c r="Z10" t="s">
        <v>27</v>
      </c>
      <c r="AA10" t="s">
        <v>12</v>
      </c>
      <c r="AB10" s="21" t="s">
        <v>13</v>
      </c>
      <c r="AC10" t="s">
        <v>14</v>
      </c>
      <c r="AD10" t="s">
        <v>28</v>
      </c>
    </row>
    <row r="11" spans="1:33" ht="15" customHeight="1" x14ac:dyDescent="0.25">
      <c r="B11" s="13" t="s">
        <v>15</v>
      </c>
      <c r="D11">
        <v>15.310264999999999</v>
      </c>
      <c r="E11">
        <v>15.048802</v>
      </c>
      <c r="F11">
        <v>16.300446000000001</v>
      </c>
      <c r="G11">
        <v>16.459140000000001</v>
      </c>
      <c r="H11" s="2">
        <f>F11</f>
        <v>16.300446000000001</v>
      </c>
      <c r="I11" s="2">
        <v>0.64400000000000002</v>
      </c>
      <c r="J11" s="2">
        <f>2/I11*60</f>
        <v>186.33540372670808</v>
      </c>
      <c r="L11" s="13" t="s">
        <v>15</v>
      </c>
      <c r="T11" s="13" t="s">
        <v>15</v>
      </c>
      <c r="X11" s="47" t="s">
        <v>16</v>
      </c>
      <c r="Y11">
        <v>30</v>
      </c>
      <c r="Z11" s="25">
        <v>-11.315107574357175</v>
      </c>
      <c r="AA11" s="25">
        <v>-10.670444232016722</v>
      </c>
      <c r="AB11" s="42">
        <v>-9.898140210396706</v>
      </c>
      <c r="AC11" s="25">
        <v>-8.2956073717246746</v>
      </c>
      <c r="AD11" s="25">
        <v>-7.73167801666286</v>
      </c>
    </row>
    <row r="12" spans="1:33" ht="15" customHeight="1" x14ac:dyDescent="0.25">
      <c r="B12" s="13"/>
      <c r="L12" s="13"/>
      <c r="T12" s="13"/>
      <c r="X12" s="47"/>
      <c r="Y12">
        <v>60</v>
      </c>
      <c r="Z12" s="25">
        <v>-16.799374691956288</v>
      </c>
      <c r="AA12" s="25">
        <v>-16.040567233559134</v>
      </c>
      <c r="AB12" s="42">
        <v>-13.40441237006644</v>
      </c>
      <c r="AC12" s="25">
        <v>-11.29678905718286</v>
      </c>
      <c r="AD12" s="25">
        <v>-9.431048696458987</v>
      </c>
    </row>
    <row r="13" spans="1:33" x14ac:dyDescent="0.25">
      <c r="A13" s="12" t="s">
        <v>19</v>
      </c>
      <c r="B13" s="12" t="s">
        <v>18</v>
      </c>
      <c r="K13" s="12" t="s">
        <v>19</v>
      </c>
      <c r="L13" s="12" t="s">
        <v>18</v>
      </c>
      <c r="S13" s="12" t="s">
        <v>19</v>
      </c>
      <c r="T13" s="12" t="s">
        <v>18</v>
      </c>
      <c r="X13" s="47"/>
      <c r="Y13" s="18">
        <v>120</v>
      </c>
      <c r="Z13" s="43">
        <v>-17.807163067808094</v>
      </c>
      <c r="AA13" s="43">
        <v>-18.494898851233888</v>
      </c>
      <c r="AB13" s="44">
        <v>-16.889697373924619</v>
      </c>
      <c r="AC13" s="45">
        <v>-16.54823432438598</v>
      </c>
      <c r="AD13" s="25">
        <v>-12.688303129865286</v>
      </c>
    </row>
    <row r="14" spans="1:33" x14ac:dyDescent="0.25">
      <c r="A14" s="13" t="s">
        <v>23</v>
      </c>
      <c r="B14" s="13" t="s">
        <v>30</v>
      </c>
      <c r="D14">
        <v>14.835711</v>
      </c>
      <c r="E14">
        <v>14.687004999999999</v>
      </c>
      <c r="F14">
        <v>15.630247000000001</v>
      </c>
      <c r="G14">
        <v>16.025825999999999</v>
      </c>
      <c r="H14" s="2">
        <f>E14</f>
        <v>14.687004999999999</v>
      </c>
      <c r="I14" s="2">
        <v>0.64400000000000002</v>
      </c>
      <c r="J14" s="2">
        <f>2/I14*60</f>
        <v>186.33540372670808</v>
      </c>
      <c r="K14" s="13" t="s">
        <v>23</v>
      </c>
      <c r="L14" s="13" t="s">
        <v>30</v>
      </c>
      <c r="N14">
        <f>(D14-D$11)/D$11*100</f>
        <v>-3.0995805755158354</v>
      </c>
      <c r="O14">
        <f>(E14-E$11)/E$11*100</f>
        <v>-2.404158151592406</v>
      </c>
      <c r="P14">
        <f>(F14-F$11)/F$11*100</f>
        <v>-4.1115378070023372</v>
      </c>
      <c r="Q14">
        <f>(G14-G$11)/G$11*100</f>
        <v>-2.6326648901461609</v>
      </c>
      <c r="S14" s="13" t="s">
        <v>23</v>
      </c>
      <c r="T14" s="13" t="s">
        <v>30</v>
      </c>
      <c r="U14">
        <f>(H14-H$11)/H$11*100</f>
        <v>-9.898140210396706</v>
      </c>
      <c r="X14" s="47"/>
      <c r="Y14">
        <v>180</v>
      </c>
      <c r="Z14" s="25">
        <v>-6.5106684810955482</v>
      </c>
      <c r="AA14" s="25">
        <v>-11.870859239066219</v>
      </c>
      <c r="AB14" s="42">
        <v>-17.673651383526558</v>
      </c>
      <c r="AC14" s="25">
        <v>-18.467574445509044</v>
      </c>
      <c r="AD14" s="25">
        <v>-15.774341389186533</v>
      </c>
    </row>
    <row r="15" spans="1:33" x14ac:dyDescent="0.25">
      <c r="A15" t="s">
        <v>23</v>
      </c>
      <c r="B15" s="13" t="s">
        <v>17</v>
      </c>
      <c r="D15">
        <v>14.394450000000001</v>
      </c>
      <c r="E15">
        <v>14.115467000000001</v>
      </c>
      <c r="F15">
        <v>15.148153000000001</v>
      </c>
      <c r="G15">
        <v>15.814506</v>
      </c>
      <c r="H15" s="2">
        <f>E15</f>
        <v>14.115467000000001</v>
      </c>
      <c r="I15" s="2">
        <v>0.64400000000000002</v>
      </c>
      <c r="J15" s="2">
        <f>2/I15*60</f>
        <v>186.33540372670808</v>
      </c>
      <c r="K15" t="s">
        <v>23</v>
      </c>
      <c r="L15" s="13" t="s">
        <v>17</v>
      </c>
      <c r="N15">
        <f t="shared" ref="N15:Q42" si="0">(D15-D$11)/D$11*100</f>
        <v>-5.9817057379477001</v>
      </c>
      <c r="O15">
        <f t="shared" si="0"/>
        <v>-6.202055153626179</v>
      </c>
      <c r="P15">
        <f t="shared" si="0"/>
        <v>-7.06908878444185</v>
      </c>
      <c r="Q15">
        <f t="shared" si="0"/>
        <v>-3.9165715827193992</v>
      </c>
      <c r="S15" t="s">
        <v>23</v>
      </c>
      <c r="T15" s="13" t="s">
        <v>17</v>
      </c>
      <c r="U15">
        <f t="shared" ref="U15:U42" si="1">(H15-H$11)/H$11*100</f>
        <v>-13.40441237006644</v>
      </c>
      <c r="X15" s="47"/>
      <c r="Y15">
        <v>240</v>
      </c>
      <c r="Z15" s="25">
        <v>7.2577646034961214</v>
      </c>
      <c r="AA15" s="25">
        <v>-0.45436180089797806</v>
      </c>
      <c r="AB15" s="46">
        <v>-11.933262439567608</v>
      </c>
      <c r="AC15" s="25">
        <v>-18.258451333172115</v>
      </c>
      <c r="AD15" s="25">
        <v>-17.947361685686399</v>
      </c>
    </row>
    <row r="16" spans="1:33" x14ac:dyDescent="0.25">
      <c r="A16" t="s">
        <v>23</v>
      </c>
      <c r="B16" s="13" t="s">
        <v>23</v>
      </c>
      <c r="D16">
        <v>13.699228</v>
      </c>
      <c r="E16">
        <v>13.54735</v>
      </c>
      <c r="F16">
        <v>14.632049</v>
      </c>
      <c r="G16">
        <v>16.051697000000001</v>
      </c>
      <c r="H16" s="2">
        <f t="shared" ref="H16:H42" si="2">E16</f>
        <v>13.54735</v>
      </c>
      <c r="I16" s="2">
        <v>0.64400000000000002</v>
      </c>
      <c r="J16" s="2">
        <f>2/I16*60</f>
        <v>186.33540372670808</v>
      </c>
      <c r="K16" t="s">
        <v>23</v>
      </c>
      <c r="L16" s="13" t="s">
        <v>23</v>
      </c>
      <c r="N16">
        <f t="shared" si="0"/>
        <v>-10.52259382838899</v>
      </c>
      <c r="O16">
        <f t="shared" si="0"/>
        <v>-9.9772194490963493</v>
      </c>
      <c r="P16">
        <f t="shared" si="0"/>
        <v>-10.235284359704027</v>
      </c>
      <c r="Q16">
        <f t="shared" si="0"/>
        <v>-2.4754817080357823</v>
      </c>
      <c r="S16" t="s">
        <v>23</v>
      </c>
      <c r="T16" s="13" t="s">
        <v>23</v>
      </c>
      <c r="U16">
        <f t="shared" si="1"/>
        <v>-16.889697373924619</v>
      </c>
    </row>
    <row r="17" spans="1:33" x14ac:dyDescent="0.25">
      <c r="A17" t="s">
        <v>23</v>
      </c>
      <c r="B17" s="13" t="s">
        <v>18</v>
      </c>
      <c r="D17">
        <v>13.234811000000001</v>
      </c>
      <c r="E17">
        <v>13.419562000000001</v>
      </c>
      <c r="F17">
        <v>15.240169</v>
      </c>
      <c r="G17">
        <v>17.092821000000001</v>
      </c>
      <c r="H17" s="2">
        <f t="shared" si="2"/>
        <v>13.419562000000001</v>
      </c>
      <c r="I17" s="2">
        <v>0.60399999999999998</v>
      </c>
      <c r="J17" s="2">
        <f>2/I17*60</f>
        <v>198.67549668874173</v>
      </c>
      <c r="K17" t="s">
        <v>23</v>
      </c>
      <c r="L17" s="13" t="s">
        <v>18</v>
      </c>
      <c r="N17">
        <f t="shared" si="0"/>
        <v>-13.555963923550628</v>
      </c>
      <c r="O17">
        <f t="shared" si="0"/>
        <v>-10.826376744142154</v>
      </c>
      <c r="P17">
        <f t="shared" si="0"/>
        <v>-6.5045888928437963</v>
      </c>
      <c r="Q17">
        <f t="shared" si="0"/>
        <v>3.8500249709280023</v>
      </c>
      <c r="S17" t="s">
        <v>23</v>
      </c>
      <c r="T17" s="13" t="s">
        <v>18</v>
      </c>
      <c r="U17">
        <f t="shared" si="1"/>
        <v>-17.673651383526558</v>
      </c>
    </row>
    <row r="18" spans="1:33" x14ac:dyDescent="0.25">
      <c r="A18" t="s">
        <v>23</v>
      </c>
      <c r="B18" s="13" t="s">
        <v>31</v>
      </c>
      <c r="D18">
        <v>13.294829</v>
      </c>
      <c r="E18">
        <v>14.355271</v>
      </c>
      <c r="F18">
        <v>16.375259</v>
      </c>
      <c r="G18">
        <v>18.238565000000001</v>
      </c>
      <c r="H18" s="2">
        <f t="shared" si="2"/>
        <v>14.355271</v>
      </c>
      <c r="I18" s="2">
        <v>0.60399999999999998</v>
      </c>
      <c r="J18" s="2">
        <f>2/I18*60</f>
        <v>198.67549668874173</v>
      </c>
      <c r="K18" t="s">
        <v>23</v>
      </c>
      <c r="L18" s="13" t="s">
        <v>31</v>
      </c>
      <c r="N18">
        <f t="shared" si="0"/>
        <v>-13.163952420157321</v>
      </c>
      <c r="O18">
        <f t="shared" si="0"/>
        <v>-4.6085462483990423</v>
      </c>
      <c r="P18">
        <f t="shared" si="0"/>
        <v>0.45896290199666262</v>
      </c>
      <c r="Q18">
        <f t="shared" si="0"/>
        <v>10.811166318531829</v>
      </c>
      <c r="S18" t="s">
        <v>23</v>
      </c>
      <c r="T18" s="13" t="s">
        <v>31</v>
      </c>
      <c r="U18">
        <f t="shared" si="1"/>
        <v>-11.933262439567608</v>
      </c>
    </row>
    <row r="19" spans="1:33" s="2" customFormat="1" x14ac:dyDescent="0.25">
      <c r="A19"/>
      <c r="B19" s="13"/>
      <c r="C19"/>
      <c r="D19"/>
      <c r="E19"/>
      <c r="F19"/>
      <c r="G19"/>
      <c r="K19"/>
      <c r="L19" s="13"/>
      <c r="M19"/>
      <c r="N19"/>
      <c r="O19"/>
      <c r="P19"/>
      <c r="Q19"/>
      <c r="S19"/>
      <c r="T19" s="13"/>
      <c r="U19"/>
      <c r="W19"/>
      <c r="X19"/>
      <c r="Y19"/>
      <c r="Z19"/>
      <c r="AA19"/>
      <c r="AB19"/>
      <c r="AC19"/>
      <c r="AD19"/>
      <c r="AE19"/>
      <c r="AF19"/>
      <c r="AG19"/>
    </row>
    <row r="20" spans="1:33" s="2" customFormat="1" x14ac:dyDescent="0.25">
      <c r="A20" t="s">
        <v>20</v>
      </c>
      <c r="B20" s="13" t="s">
        <v>30</v>
      </c>
      <c r="C20"/>
      <c r="D20">
        <v>14.711862999999999</v>
      </c>
      <c r="E20">
        <v>14.561116</v>
      </c>
      <c r="F20">
        <v>15.461321999999999</v>
      </c>
      <c r="G20">
        <v>15.872484</v>
      </c>
      <c r="H20" s="2">
        <f t="shared" si="2"/>
        <v>14.561116</v>
      </c>
      <c r="I20" s="2">
        <v>0.64400000000000002</v>
      </c>
      <c r="J20" s="2">
        <f>2/I20*60</f>
        <v>186.33540372670808</v>
      </c>
      <c r="K20" t="s">
        <v>20</v>
      </c>
      <c r="L20" s="13" t="s">
        <v>30</v>
      </c>
      <c r="M20"/>
      <c r="N20">
        <f t="shared" si="0"/>
        <v>-3.9085019103196457</v>
      </c>
      <c r="O20">
        <f t="shared" si="0"/>
        <v>-3.2406965019541092</v>
      </c>
      <c r="P20">
        <f t="shared" si="0"/>
        <v>-5.1478591444675912</v>
      </c>
      <c r="Q20">
        <f t="shared" si="0"/>
        <v>-3.5643174552254937</v>
      </c>
      <c r="S20" t="s">
        <v>20</v>
      </c>
      <c r="T20" s="13" t="s">
        <v>30</v>
      </c>
      <c r="U20">
        <f t="shared" si="1"/>
        <v>-10.670444232016722</v>
      </c>
      <c r="W20"/>
      <c r="X20"/>
      <c r="Y20"/>
      <c r="Z20"/>
      <c r="AA20"/>
      <c r="AB20"/>
      <c r="AC20"/>
      <c r="AD20"/>
      <c r="AE20"/>
      <c r="AF20"/>
      <c r="AG20"/>
    </row>
    <row r="21" spans="1:33" s="2" customFormat="1" x14ac:dyDescent="0.25">
      <c r="A21" t="s">
        <v>20</v>
      </c>
      <c r="B21" s="13" t="s">
        <v>17</v>
      </c>
      <c r="C21"/>
      <c r="D21">
        <v>14.186170000000001</v>
      </c>
      <c r="E21">
        <v>13.685762</v>
      </c>
      <c r="F21">
        <v>14.830164999999999</v>
      </c>
      <c r="G21">
        <v>15.592643000000001</v>
      </c>
      <c r="H21" s="2">
        <f t="shared" si="2"/>
        <v>13.685762</v>
      </c>
      <c r="I21" s="2">
        <v>0.64400000000000002</v>
      </c>
      <c r="J21" s="2">
        <f>2/I21*60</f>
        <v>186.33540372670808</v>
      </c>
      <c r="K21" t="s">
        <v>20</v>
      </c>
      <c r="L21" s="13" t="s">
        <v>17</v>
      </c>
      <c r="M21"/>
      <c r="N21">
        <f t="shared" si="0"/>
        <v>-7.3421002183828872</v>
      </c>
      <c r="O21">
        <f t="shared" si="0"/>
        <v>-9.0574651723107245</v>
      </c>
      <c r="P21">
        <f t="shared" si="0"/>
        <v>-9.0198820326756799</v>
      </c>
      <c r="Q21">
        <f t="shared" si="0"/>
        <v>-5.2645338699348851</v>
      </c>
      <c r="S21" t="s">
        <v>20</v>
      </c>
      <c r="T21" s="13" t="s">
        <v>17</v>
      </c>
      <c r="U21">
        <f t="shared" si="1"/>
        <v>-16.040567233559134</v>
      </c>
      <c r="W21"/>
      <c r="X21"/>
      <c r="Y21"/>
      <c r="Z21"/>
      <c r="AA21"/>
      <c r="AB21"/>
      <c r="AC21"/>
      <c r="AD21"/>
      <c r="AE21"/>
      <c r="AF21"/>
      <c r="AG21"/>
    </row>
    <row r="22" spans="1:33" s="2" customFormat="1" x14ac:dyDescent="0.25">
      <c r="A22" t="s">
        <v>21</v>
      </c>
      <c r="B22" s="13" t="s">
        <v>23</v>
      </c>
      <c r="C22"/>
      <c r="D22">
        <v>13.370756</v>
      </c>
      <c r="E22">
        <v>13.285695</v>
      </c>
      <c r="F22">
        <v>14.831022000000001</v>
      </c>
      <c r="G22">
        <v>16.492588999999999</v>
      </c>
      <c r="H22" s="2">
        <f t="shared" si="2"/>
        <v>13.285695</v>
      </c>
      <c r="I22" s="2">
        <v>0.64400000000000002</v>
      </c>
      <c r="J22" s="2">
        <f>2/I22*60</f>
        <v>186.33540372670808</v>
      </c>
      <c r="K22" t="s">
        <v>21</v>
      </c>
      <c r="L22" s="13" t="s">
        <v>23</v>
      </c>
      <c r="M22"/>
      <c r="N22">
        <f t="shared" si="0"/>
        <v>-12.66803023984235</v>
      </c>
      <c r="O22">
        <f t="shared" si="0"/>
        <v>-11.715929281280992</v>
      </c>
      <c r="P22">
        <f t="shared" si="0"/>
        <v>-9.0146245078202156</v>
      </c>
      <c r="Q22">
        <f t="shared" si="0"/>
        <v>0.20322446980824876</v>
      </c>
      <c r="S22" t="s">
        <v>21</v>
      </c>
      <c r="T22" s="13" t="s">
        <v>23</v>
      </c>
      <c r="U22">
        <f t="shared" si="1"/>
        <v>-18.494898851233888</v>
      </c>
      <c r="W22"/>
      <c r="X22"/>
      <c r="Y22"/>
      <c r="Z22"/>
      <c r="AA22"/>
      <c r="AB22"/>
      <c r="AC22"/>
      <c r="AD22"/>
      <c r="AE22"/>
      <c r="AF22"/>
      <c r="AG22"/>
    </row>
    <row r="23" spans="1:33" s="2" customFormat="1" x14ac:dyDescent="0.25">
      <c r="A23" t="s">
        <v>20</v>
      </c>
      <c r="B23" s="13" t="s">
        <v>18</v>
      </c>
      <c r="C23"/>
      <c r="D23">
        <v>13.430968</v>
      </c>
      <c r="E23">
        <v>14.365443000000001</v>
      </c>
      <c r="F23">
        <v>16.272478</v>
      </c>
      <c r="G23">
        <v>18.043804000000002</v>
      </c>
      <c r="H23" s="2">
        <f t="shared" si="2"/>
        <v>14.365443000000001</v>
      </c>
      <c r="I23" s="2">
        <v>0.60399999999999998</v>
      </c>
      <c r="J23" s="2">
        <f>2/I23*60</f>
        <v>198.67549668874173</v>
      </c>
      <c r="K23" t="s">
        <v>20</v>
      </c>
      <c r="L23" s="13" t="s">
        <v>18</v>
      </c>
      <c r="M23"/>
      <c r="N23">
        <f t="shared" si="0"/>
        <v>-12.274751612725183</v>
      </c>
      <c r="O23">
        <f t="shared" si="0"/>
        <v>-4.5409528280058398</v>
      </c>
      <c r="P23">
        <f t="shared" si="0"/>
        <v>-0.17157812737149231</v>
      </c>
      <c r="Q23">
        <f t="shared" si="0"/>
        <v>9.6278663405256903</v>
      </c>
      <c r="S23" t="s">
        <v>20</v>
      </c>
      <c r="T23" s="13" t="s">
        <v>18</v>
      </c>
      <c r="U23">
        <f t="shared" si="1"/>
        <v>-11.870859239066219</v>
      </c>
      <c r="W23"/>
      <c r="X23"/>
      <c r="Y23"/>
      <c r="Z23"/>
      <c r="AA23"/>
      <c r="AB23"/>
      <c r="AC23"/>
      <c r="AD23"/>
      <c r="AE23"/>
      <c r="AF23"/>
      <c r="AG23"/>
    </row>
    <row r="24" spans="1:33" s="2" customFormat="1" x14ac:dyDescent="0.25">
      <c r="A24" t="s">
        <v>20</v>
      </c>
      <c r="B24" s="13" t="s">
        <v>31</v>
      </c>
      <c r="C24"/>
      <c r="D24">
        <v>14.327764999999999</v>
      </c>
      <c r="E24">
        <v>16.226382999999998</v>
      </c>
      <c r="F24">
        <v>18.204844999999999</v>
      </c>
      <c r="G24">
        <v>20.110809</v>
      </c>
      <c r="H24" s="2">
        <f t="shared" si="2"/>
        <v>16.226382999999998</v>
      </c>
      <c r="I24" s="2">
        <v>0.60399999999999998</v>
      </c>
      <c r="J24" s="2">
        <f>2/I24*60</f>
        <v>198.67549668874173</v>
      </c>
      <c r="K24" t="s">
        <v>20</v>
      </c>
      <c r="L24" s="13" t="s">
        <v>31</v>
      </c>
      <c r="M24"/>
      <c r="N24">
        <f t="shared" si="0"/>
        <v>-6.4172631891087448</v>
      </c>
      <c r="O24">
        <f t="shared" si="0"/>
        <v>7.8250813586357122</v>
      </c>
      <c r="P24">
        <f t="shared" si="0"/>
        <v>11.683109775033136</v>
      </c>
      <c r="Q24">
        <f t="shared" si="0"/>
        <v>22.186268541369706</v>
      </c>
      <c r="S24" t="s">
        <v>20</v>
      </c>
      <c r="T24" s="13" t="s">
        <v>31</v>
      </c>
      <c r="U24">
        <f t="shared" si="1"/>
        <v>-0.45436180089797806</v>
      </c>
      <c r="W24"/>
      <c r="X24"/>
      <c r="Y24"/>
      <c r="Z24"/>
      <c r="AA24"/>
      <c r="AB24"/>
      <c r="AC24"/>
      <c r="AD24"/>
      <c r="AE24"/>
      <c r="AF24"/>
      <c r="AG24"/>
    </row>
    <row r="26" spans="1:33" x14ac:dyDescent="0.25">
      <c r="A26" t="s">
        <v>22</v>
      </c>
      <c r="B26" s="13" t="s">
        <v>30</v>
      </c>
      <c r="D26">
        <v>14.983318000000001</v>
      </c>
      <c r="E26">
        <v>14.948225000000001</v>
      </c>
      <c r="F26">
        <v>15.784383999999999</v>
      </c>
      <c r="G26">
        <v>16.292808000000001</v>
      </c>
      <c r="H26" s="2">
        <f t="shared" si="2"/>
        <v>14.948225000000001</v>
      </c>
      <c r="I26" s="2">
        <v>0.64400000000000002</v>
      </c>
      <c r="J26" s="2">
        <f>2/I26*60</f>
        <v>186.33540372670808</v>
      </c>
      <c r="K26" t="s">
        <v>22</v>
      </c>
      <c r="L26" s="13" t="s">
        <v>30</v>
      </c>
      <c r="N26">
        <f t="shared" si="0"/>
        <v>-2.1354757739333627</v>
      </c>
      <c r="O26">
        <f t="shared" si="0"/>
        <v>-0.668338914951499</v>
      </c>
      <c r="P26">
        <f t="shared" si="0"/>
        <v>-3.1659379136006556</v>
      </c>
      <c r="Q26">
        <f t="shared" si="0"/>
        <v>-1.0105752791458156</v>
      </c>
      <c r="S26" t="s">
        <v>22</v>
      </c>
      <c r="T26" s="13" t="s">
        <v>30</v>
      </c>
      <c r="U26">
        <f t="shared" si="1"/>
        <v>-8.2956073717246746</v>
      </c>
    </row>
    <row r="27" spans="1:33" s="2" customFormat="1" x14ac:dyDescent="0.25">
      <c r="A27" t="s">
        <v>22</v>
      </c>
      <c r="B27" s="13" t="s">
        <v>17</v>
      </c>
      <c r="C27"/>
      <c r="D27">
        <v>14.671505</v>
      </c>
      <c r="E27">
        <v>14.459019</v>
      </c>
      <c r="F27">
        <v>15.455527999999999</v>
      </c>
      <c r="G27">
        <v>15.803293</v>
      </c>
      <c r="H27" s="2">
        <f t="shared" si="2"/>
        <v>14.459019</v>
      </c>
      <c r="I27" s="2">
        <v>0.64400000000000002</v>
      </c>
      <c r="J27" s="2">
        <f>2/I27*60</f>
        <v>186.33540372670808</v>
      </c>
      <c r="K27" t="s">
        <v>22</v>
      </c>
      <c r="L27" s="13" t="s">
        <v>17</v>
      </c>
      <c r="M27"/>
      <c r="N27">
        <f t="shared" si="0"/>
        <v>-4.1721028342749102</v>
      </c>
      <c r="O27">
        <f t="shared" si="0"/>
        <v>-3.9191358886906786</v>
      </c>
      <c r="P27">
        <f t="shared" si="0"/>
        <v>-5.1834041841554619</v>
      </c>
      <c r="Q27">
        <f t="shared" si="0"/>
        <v>-3.9846978639224249</v>
      </c>
      <c r="S27" t="s">
        <v>22</v>
      </c>
      <c r="T27" s="13" t="s">
        <v>17</v>
      </c>
      <c r="U27">
        <f t="shared" si="1"/>
        <v>-11.29678905718286</v>
      </c>
      <c r="W27"/>
      <c r="X27"/>
      <c r="Y27"/>
      <c r="Z27"/>
      <c r="AA27"/>
      <c r="AB27"/>
      <c r="AC27"/>
      <c r="AD27"/>
      <c r="AE27"/>
      <c r="AF27"/>
      <c r="AG27"/>
    </row>
    <row r="28" spans="1:33" s="2" customFormat="1" x14ac:dyDescent="0.25">
      <c r="A28" t="s">
        <v>22</v>
      </c>
      <c r="B28" s="13" t="s">
        <v>23</v>
      </c>
      <c r="C28"/>
      <c r="D28">
        <v>14.044463</v>
      </c>
      <c r="E28">
        <v>13.603009999999999</v>
      </c>
      <c r="F28">
        <v>14.88682</v>
      </c>
      <c r="G28">
        <v>15.536303</v>
      </c>
      <c r="H28" s="2">
        <f t="shared" si="2"/>
        <v>13.603009999999999</v>
      </c>
      <c r="I28" s="2">
        <v>0.64400000000000002</v>
      </c>
      <c r="J28" s="2">
        <f>2/I28*60</f>
        <v>186.33540372670808</v>
      </c>
      <c r="K28" t="s">
        <v>22</v>
      </c>
      <c r="L28" s="13" t="s">
        <v>23</v>
      </c>
      <c r="M28"/>
      <c r="N28">
        <f t="shared" si="0"/>
        <v>-8.2676687830027706</v>
      </c>
      <c r="O28">
        <f t="shared" si="0"/>
        <v>-9.6073561204406897</v>
      </c>
      <c r="P28">
        <f t="shared" si="0"/>
        <v>-8.6723148556794118</v>
      </c>
      <c r="Q28">
        <f t="shared" si="0"/>
        <v>-5.6068360801354213</v>
      </c>
      <c r="S28" t="s">
        <v>22</v>
      </c>
      <c r="T28" s="13" t="s">
        <v>23</v>
      </c>
      <c r="U28">
        <f t="shared" si="1"/>
        <v>-16.54823432438598</v>
      </c>
      <c r="W28"/>
      <c r="X28"/>
      <c r="Y28"/>
      <c r="Z28"/>
      <c r="AA28"/>
      <c r="AB28"/>
      <c r="AC28"/>
      <c r="AD28"/>
      <c r="AE28"/>
      <c r="AF28"/>
      <c r="AG28"/>
    </row>
    <row r="29" spans="1:33" s="2" customFormat="1" x14ac:dyDescent="0.25">
      <c r="A29" t="s">
        <v>22</v>
      </c>
      <c r="B29" s="13" t="s">
        <v>18</v>
      </c>
      <c r="C29"/>
      <c r="D29">
        <v>13.641543</v>
      </c>
      <c r="E29">
        <v>13.290149</v>
      </c>
      <c r="F29">
        <v>14.68605</v>
      </c>
      <c r="G29">
        <v>15.951404999999999</v>
      </c>
      <c r="H29" s="2">
        <f t="shared" si="2"/>
        <v>13.290149</v>
      </c>
      <c r="I29" s="2">
        <v>0.64400000000000002</v>
      </c>
      <c r="J29" s="2">
        <f>2/I29*60</f>
        <v>186.33540372670808</v>
      </c>
      <c r="K29" t="s">
        <v>22</v>
      </c>
      <c r="L29" s="13" t="s">
        <v>18</v>
      </c>
      <c r="M29"/>
      <c r="N29">
        <f t="shared" si="0"/>
        <v>-10.899367189268109</v>
      </c>
      <c r="O29">
        <f t="shared" si="0"/>
        <v>-11.686332240931874</v>
      </c>
      <c r="P29">
        <f t="shared" si="0"/>
        <v>-9.9039989457957223</v>
      </c>
      <c r="Q29">
        <f t="shared" si="0"/>
        <v>-3.0848209566235054</v>
      </c>
      <c r="S29" t="s">
        <v>22</v>
      </c>
      <c r="T29" s="13" t="s">
        <v>18</v>
      </c>
      <c r="U29">
        <f t="shared" si="1"/>
        <v>-18.467574445509044</v>
      </c>
      <c r="W29"/>
      <c r="X29"/>
      <c r="Y29"/>
      <c r="Z29"/>
      <c r="AA29"/>
      <c r="AB29"/>
      <c r="AC29"/>
      <c r="AD29"/>
      <c r="AE29"/>
      <c r="AF29"/>
      <c r="AG29"/>
    </row>
    <row r="30" spans="1:33" s="2" customFormat="1" x14ac:dyDescent="0.25">
      <c r="A30" t="s">
        <v>22</v>
      </c>
      <c r="B30" s="13" t="s">
        <v>31</v>
      </c>
      <c r="C30"/>
      <c r="D30">
        <v>13.211784</v>
      </c>
      <c r="E30">
        <v>13.324237</v>
      </c>
      <c r="F30">
        <v>15.195698</v>
      </c>
      <c r="G30">
        <v>16.803878999999998</v>
      </c>
      <c r="H30" s="2">
        <f t="shared" si="2"/>
        <v>13.324237</v>
      </c>
      <c r="I30" s="2">
        <v>0.60399999999999998</v>
      </c>
      <c r="J30" s="2">
        <f>2/I30*60</f>
        <v>198.67549668874173</v>
      </c>
      <c r="K30" t="s">
        <v>22</v>
      </c>
      <c r="L30" s="13" t="s">
        <v>31</v>
      </c>
      <c r="M30"/>
      <c r="N30">
        <f t="shared" si="0"/>
        <v>-13.706366284319701</v>
      </c>
      <c r="O30">
        <f t="shared" si="0"/>
        <v>-11.459815871057376</v>
      </c>
      <c r="P30">
        <f t="shared" si="0"/>
        <v>-6.7774096487912088</v>
      </c>
      <c r="Q30">
        <f t="shared" si="0"/>
        <v>2.0945140511593983</v>
      </c>
      <c r="S30" t="s">
        <v>22</v>
      </c>
      <c r="T30" s="13" t="s">
        <v>31</v>
      </c>
      <c r="U30">
        <f t="shared" si="1"/>
        <v>-18.258451333172115</v>
      </c>
      <c r="W30"/>
      <c r="X30"/>
      <c r="Y30"/>
      <c r="Z30"/>
      <c r="AA30"/>
      <c r="AB30"/>
      <c r="AC30"/>
      <c r="AD30"/>
      <c r="AE30"/>
      <c r="AF30"/>
      <c r="AG30"/>
    </row>
    <row r="31" spans="1:33" s="2" customFormat="1" x14ac:dyDescent="0.25">
      <c r="A31"/>
      <c r="B31"/>
      <c r="C31"/>
      <c r="D31"/>
      <c r="E31"/>
      <c r="F31"/>
      <c r="G31"/>
      <c r="K31"/>
      <c r="L31"/>
      <c r="M31"/>
      <c r="N31"/>
      <c r="O31"/>
      <c r="P31"/>
      <c r="Q31"/>
      <c r="S31"/>
      <c r="T31"/>
      <c r="U31"/>
      <c r="W31"/>
      <c r="X31"/>
      <c r="Y31"/>
      <c r="Z31"/>
      <c r="AA31"/>
      <c r="AB31"/>
      <c r="AC31"/>
      <c r="AD31"/>
      <c r="AE31"/>
      <c r="AF31"/>
      <c r="AG31"/>
    </row>
    <row r="32" spans="1:33" s="2" customFormat="1" x14ac:dyDescent="0.25">
      <c r="A32" t="s">
        <v>29</v>
      </c>
      <c r="B32" s="13" t="s">
        <v>30</v>
      </c>
      <c r="C32"/>
      <c r="D32">
        <v>14.638135</v>
      </c>
      <c r="E32">
        <v>14.456033</v>
      </c>
      <c r="F32">
        <v>15.385187999999999</v>
      </c>
      <c r="G32">
        <v>15.478062</v>
      </c>
      <c r="H32" s="2">
        <f t="shared" si="2"/>
        <v>14.456033</v>
      </c>
      <c r="I32" s="2">
        <v>0.64400000000000002</v>
      </c>
      <c r="J32" s="2">
        <f>2/I32*60</f>
        <v>186.33540372670808</v>
      </c>
      <c r="K32" t="s">
        <v>29</v>
      </c>
      <c r="L32" s="13" t="s">
        <v>30</v>
      </c>
      <c r="M32"/>
      <c r="N32">
        <f t="shared" si="0"/>
        <v>-4.3900611779090646</v>
      </c>
      <c r="O32">
        <f t="shared" si="0"/>
        <v>-3.9389779997105454</v>
      </c>
      <c r="P32">
        <f t="shared" si="0"/>
        <v>-5.6149261191994464</v>
      </c>
      <c r="Q32">
        <f t="shared" si="0"/>
        <v>-5.9606881039957242</v>
      </c>
      <c r="S32" t="s">
        <v>29</v>
      </c>
      <c r="T32" s="13" t="s">
        <v>30</v>
      </c>
      <c r="U32">
        <f t="shared" si="1"/>
        <v>-11.315107574357175</v>
      </c>
      <c r="W32"/>
      <c r="X32"/>
      <c r="Y32"/>
      <c r="Z32"/>
      <c r="AA32"/>
      <c r="AB32"/>
      <c r="AC32"/>
      <c r="AD32"/>
      <c r="AE32"/>
      <c r="AF32"/>
      <c r="AG32"/>
    </row>
    <row r="33" spans="1:33" s="2" customFormat="1" x14ac:dyDescent="0.25">
      <c r="A33" t="s">
        <v>29</v>
      </c>
      <c r="B33" s="13" t="s">
        <v>17</v>
      </c>
      <c r="C33"/>
      <c r="D33">
        <v>14.096348000000001</v>
      </c>
      <c r="E33">
        <v>13.562073</v>
      </c>
      <c r="F33">
        <v>14.686576000000001</v>
      </c>
      <c r="G33">
        <v>15.560356000000001</v>
      </c>
      <c r="H33" s="2">
        <f t="shared" si="2"/>
        <v>13.562073</v>
      </c>
      <c r="I33" s="2">
        <v>0.64400000000000002</v>
      </c>
      <c r="J33" s="2">
        <f>2/I33*60</f>
        <v>186.33540372670808</v>
      </c>
      <c r="K33" t="s">
        <v>29</v>
      </c>
      <c r="L33" s="13" t="s">
        <v>17</v>
      </c>
      <c r="M33"/>
      <c r="N33">
        <f t="shared" si="0"/>
        <v>-7.9287785025275435</v>
      </c>
      <c r="O33">
        <f t="shared" si="0"/>
        <v>-9.8793844187730038</v>
      </c>
      <c r="P33">
        <f t="shared" si="0"/>
        <v>-9.9007720402251582</v>
      </c>
      <c r="Q33">
        <f t="shared" si="0"/>
        <v>-5.4606984326034098</v>
      </c>
      <c r="S33" t="s">
        <v>29</v>
      </c>
      <c r="T33" s="13" t="s">
        <v>17</v>
      </c>
      <c r="U33">
        <f t="shared" si="1"/>
        <v>-16.799374691956288</v>
      </c>
      <c r="W33"/>
      <c r="X33"/>
      <c r="Y33"/>
      <c r="Z33"/>
      <c r="AA33"/>
      <c r="AB33"/>
      <c r="AC33"/>
      <c r="AD33"/>
      <c r="AE33"/>
      <c r="AF33"/>
      <c r="AG33"/>
    </row>
    <row r="34" spans="1:33" s="2" customFormat="1" x14ac:dyDescent="0.25">
      <c r="A34" t="s">
        <v>29</v>
      </c>
      <c r="B34" s="13" t="s">
        <v>23</v>
      </c>
      <c r="C34"/>
      <c r="D34">
        <v>13.336957999999999</v>
      </c>
      <c r="E34">
        <v>13.397798999999999</v>
      </c>
      <c r="F34">
        <v>15.050153999999999</v>
      </c>
      <c r="G34">
        <v>16.495013</v>
      </c>
      <c r="H34" s="2">
        <f t="shared" si="2"/>
        <v>13.397798999999999</v>
      </c>
      <c r="I34" s="2">
        <v>0.60399999999999998</v>
      </c>
      <c r="J34" s="2">
        <f>2/I34*60</f>
        <v>198.67549668874173</v>
      </c>
      <c r="K34" t="s">
        <v>29</v>
      </c>
      <c r="L34" s="13" t="s">
        <v>23</v>
      </c>
      <c r="M34"/>
      <c r="N34">
        <f t="shared" si="0"/>
        <v>-12.888784093547697</v>
      </c>
      <c r="O34">
        <f t="shared" si="0"/>
        <v>-10.970992906943696</v>
      </c>
      <c r="P34">
        <f t="shared" si="0"/>
        <v>-7.6702931932046621</v>
      </c>
      <c r="Q34">
        <f t="shared" si="0"/>
        <v>0.21795184924606453</v>
      </c>
      <c r="S34" t="s">
        <v>29</v>
      </c>
      <c r="T34" s="13" t="s">
        <v>23</v>
      </c>
      <c r="U34">
        <f t="shared" si="1"/>
        <v>-17.807163067808094</v>
      </c>
      <c r="W34"/>
      <c r="X34"/>
      <c r="Y34"/>
      <c r="Z34"/>
      <c r="AA34"/>
      <c r="AB34"/>
      <c r="AC34"/>
      <c r="AD34"/>
      <c r="AE34"/>
      <c r="AF34"/>
      <c r="AG34"/>
    </row>
    <row r="35" spans="1:33" s="2" customFormat="1" x14ac:dyDescent="0.25">
      <c r="A35" t="s">
        <v>29</v>
      </c>
      <c r="B35" s="13" t="s">
        <v>18</v>
      </c>
      <c r="C35"/>
      <c r="D35">
        <v>13.695017999999999</v>
      </c>
      <c r="E35">
        <v>15.239178000000001</v>
      </c>
      <c r="F35">
        <v>16.918028</v>
      </c>
      <c r="G35">
        <v>18.716106</v>
      </c>
      <c r="H35" s="2">
        <f t="shared" si="2"/>
        <v>15.239178000000001</v>
      </c>
      <c r="I35" s="2">
        <v>0.60399999999999998</v>
      </c>
      <c r="J35" s="2">
        <f>2/I35*60</f>
        <v>198.67549668874173</v>
      </c>
      <c r="K35" t="s">
        <v>29</v>
      </c>
      <c r="L35" s="13" t="s">
        <v>18</v>
      </c>
      <c r="M35"/>
      <c r="N35">
        <f t="shared" si="0"/>
        <v>-10.550091719509755</v>
      </c>
      <c r="O35">
        <f t="shared" si="0"/>
        <v>1.2650575108902393</v>
      </c>
      <c r="P35">
        <f t="shared" si="0"/>
        <v>3.7887429583215004</v>
      </c>
      <c r="Q35">
        <f t="shared" si="0"/>
        <v>13.712539051250541</v>
      </c>
      <c r="S35" t="s">
        <v>29</v>
      </c>
      <c r="T35" s="13" t="s">
        <v>18</v>
      </c>
      <c r="U35">
        <f t="shared" si="1"/>
        <v>-6.5106684810955482</v>
      </c>
      <c r="W35"/>
      <c r="X35"/>
      <c r="Y35"/>
      <c r="Z35"/>
      <c r="AA35"/>
      <c r="AB35"/>
      <c r="AC35"/>
      <c r="AD35"/>
      <c r="AE35"/>
      <c r="AF35"/>
      <c r="AG35"/>
    </row>
    <row r="36" spans="1:33" x14ac:dyDescent="0.25">
      <c r="A36" t="s">
        <v>29</v>
      </c>
      <c r="B36" s="13" t="s">
        <v>31</v>
      </c>
      <c r="D36">
        <v>15.246081</v>
      </c>
      <c r="E36">
        <v>17.483494</v>
      </c>
      <c r="F36">
        <v>19.478632000000001</v>
      </c>
      <c r="G36">
        <v>21.413086</v>
      </c>
      <c r="H36" s="2">
        <f t="shared" si="2"/>
        <v>17.483494</v>
      </c>
      <c r="I36" s="2">
        <v>0.60399999999999998</v>
      </c>
      <c r="J36" s="2">
        <f>2/I36*60</f>
        <v>198.67549668874173</v>
      </c>
      <c r="K36" t="s">
        <v>29</v>
      </c>
      <c r="L36" s="13" t="s">
        <v>31</v>
      </c>
      <c r="N36">
        <f t="shared" si="0"/>
        <v>-0.41922200562824441</v>
      </c>
      <c r="O36">
        <f t="shared" si="0"/>
        <v>16.178643323235963</v>
      </c>
      <c r="P36">
        <f t="shared" si="0"/>
        <v>19.497540128656603</v>
      </c>
      <c r="Q36">
        <f t="shared" si="0"/>
        <v>30.098449858255037</v>
      </c>
      <c r="S36" t="s">
        <v>29</v>
      </c>
      <c r="T36" s="13" t="s">
        <v>31</v>
      </c>
      <c r="U36">
        <f t="shared" si="1"/>
        <v>7.2577646034961214</v>
      </c>
    </row>
    <row r="38" spans="1:33" x14ac:dyDescent="0.25">
      <c r="A38" t="s">
        <v>32</v>
      </c>
      <c r="B38" s="13" t="s">
        <v>30</v>
      </c>
      <c r="D38">
        <v>15.137713</v>
      </c>
      <c r="E38">
        <v>15.040148</v>
      </c>
      <c r="F38">
        <v>15.949451</v>
      </c>
      <c r="G38">
        <v>16.208399</v>
      </c>
      <c r="H38" s="2">
        <f t="shared" si="2"/>
        <v>15.040148</v>
      </c>
      <c r="I38" s="2">
        <v>0.64400000000000002</v>
      </c>
      <c r="J38" s="2">
        <f>2/I38*60</f>
        <v>186.33540372670808</v>
      </c>
      <c r="K38" t="s">
        <v>32</v>
      </c>
      <c r="L38" s="13" t="s">
        <v>30</v>
      </c>
      <c r="N38">
        <f t="shared" si="0"/>
        <v>-1.127034705147165</v>
      </c>
      <c r="O38">
        <f t="shared" si="0"/>
        <v>-5.7506238702588683E-2</v>
      </c>
      <c r="P38">
        <f t="shared" si="0"/>
        <v>-2.1532846401871519</v>
      </c>
      <c r="Q38">
        <f t="shared" si="0"/>
        <v>-1.5234149536367112</v>
      </c>
      <c r="S38" t="s">
        <v>32</v>
      </c>
      <c r="T38" s="13" t="s">
        <v>30</v>
      </c>
      <c r="U38">
        <f t="shared" si="1"/>
        <v>-7.73167801666286</v>
      </c>
    </row>
    <row r="39" spans="1:33" x14ac:dyDescent="0.25">
      <c r="A39" t="s">
        <v>32</v>
      </c>
      <c r="B39" s="13" t="s">
        <v>17</v>
      </c>
      <c r="D39">
        <v>14.960974</v>
      </c>
      <c r="E39">
        <v>14.763142999999999</v>
      </c>
      <c r="F39">
        <v>15.703794</v>
      </c>
      <c r="G39">
        <v>16.029585999999998</v>
      </c>
      <c r="H39" s="2">
        <f t="shared" si="2"/>
        <v>14.763142999999999</v>
      </c>
      <c r="I39" s="2">
        <v>0.64400000000000002</v>
      </c>
      <c r="J39" s="2">
        <f>2/I39*60</f>
        <v>186.33540372670808</v>
      </c>
      <c r="K39" t="s">
        <v>32</v>
      </c>
      <c r="L39" s="13" t="s">
        <v>17</v>
      </c>
      <c r="N39">
        <f t="shared" si="0"/>
        <v>-2.2814170754065928</v>
      </c>
      <c r="O39">
        <f t="shared" si="0"/>
        <v>-1.898217545821925</v>
      </c>
      <c r="P39">
        <f t="shared" si="0"/>
        <v>-3.6603415636602863</v>
      </c>
      <c r="Q39">
        <f t="shared" si="0"/>
        <v>-2.6098204401931273</v>
      </c>
      <c r="S39" t="s">
        <v>32</v>
      </c>
      <c r="T39" s="13" t="s">
        <v>17</v>
      </c>
      <c r="U39">
        <f t="shared" si="1"/>
        <v>-9.431048696458987</v>
      </c>
    </row>
    <row r="40" spans="1:33" x14ac:dyDescent="0.25">
      <c r="A40" t="s">
        <v>32</v>
      </c>
      <c r="B40" s="13" t="s">
        <v>23</v>
      </c>
      <c r="D40">
        <v>14.552343</v>
      </c>
      <c r="E40">
        <v>14.232196</v>
      </c>
      <c r="F40">
        <v>15.013090999999999</v>
      </c>
      <c r="G40">
        <v>15.841464999999999</v>
      </c>
      <c r="H40" s="2">
        <f t="shared" si="2"/>
        <v>14.232196</v>
      </c>
      <c r="I40" s="2">
        <v>0.64400000000000002</v>
      </c>
      <c r="J40" s="2">
        <f>2/I40*60</f>
        <v>186.33540372670808</v>
      </c>
      <c r="K40" t="s">
        <v>32</v>
      </c>
      <c r="L40" s="13" t="s">
        <v>23</v>
      </c>
      <c r="N40">
        <f t="shared" si="0"/>
        <v>-4.950417252738597</v>
      </c>
      <c r="O40">
        <f t="shared" si="0"/>
        <v>-5.4263854358639323</v>
      </c>
      <c r="P40">
        <f t="shared" si="0"/>
        <v>-7.8976673398997885</v>
      </c>
      <c r="Q40">
        <f t="shared" si="0"/>
        <v>-3.7527780916864546</v>
      </c>
      <c r="S40" t="s">
        <v>32</v>
      </c>
      <c r="T40" s="13" t="s">
        <v>23</v>
      </c>
      <c r="U40">
        <f t="shared" si="1"/>
        <v>-12.688303129865286</v>
      </c>
    </row>
    <row r="41" spans="1:33" x14ac:dyDescent="0.25">
      <c r="A41" t="s">
        <v>32</v>
      </c>
      <c r="B41" s="13" t="s">
        <v>18</v>
      </c>
      <c r="D41">
        <v>14.199351999999999</v>
      </c>
      <c r="E41">
        <v>13.729158</v>
      </c>
      <c r="F41">
        <v>15.021091</v>
      </c>
      <c r="G41">
        <v>15.805944999999999</v>
      </c>
      <c r="H41" s="2">
        <f t="shared" si="2"/>
        <v>13.729158</v>
      </c>
      <c r="I41" s="2">
        <v>0.64400000000000002</v>
      </c>
      <c r="J41" s="2">
        <f>2/I41*60</f>
        <v>186.33540372670808</v>
      </c>
      <c r="K41" t="s">
        <v>32</v>
      </c>
      <c r="L41" s="13" t="s">
        <v>18</v>
      </c>
      <c r="N41">
        <f t="shared" si="0"/>
        <v>-7.2560011208166548</v>
      </c>
      <c r="O41">
        <f t="shared" si="0"/>
        <v>-8.7690967028471789</v>
      </c>
      <c r="P41">
        <f t="shared" si="0"/>
        <v>-7.8485889281802512</v>
      </c>
      <c r="Q41">
        <f t="shared" si="0"/>
        <v>-3.9685852359236384</v>
      </c>
      <c r="S41" t="s">
        <v>32</v>
      </c>
      <c r="T41" s="13" t="s">
        <v>18</v>
      </c>
      <c r="U41">
        <f t="shared" si="1"/>
        <v>-15.774341389186533</v>
      </c>
    </row>
    <row r="42" spans="1:33" x14ac:dyDescent="0.25">
      <c r="A42" t="s">
        <v>32</v>
      </c>
      <c r="B42" s="13" t="s">
        <v>31</v>
      </c>
      <c r="D42">
        <v>13.883046</v>
      </c>
      <c r="E42">
        <v>13.374946</v>
      </c>
      <c r="F42">
        <v>14.838291</v>
      </c>
      <c r="G42">
        <v>15.779356</v>
      </c>
      <c r="H42" s="2">
        <f t="shared" si="2"/>
        <v>13.374946</v>
      </c>
      <c r="I42" s="2">
        <v>0.64400000000000002</v>
      </c>
      <c r="J42" s="2">
        <f>2/I42*60</f>
        <v>186.33540372670808</v>
      </c>
      <c r="K42" t="s">
        <v>32</v>
      </c>
      <c r="L42" s="13" t="s">
        <v>31</v>
      </c>
      <c r="N42">
        <f t="shared" si="0"/>
        <v>-9.3219745053400391</v>
      </c>
      <c r="O42">
        <f t="shared" si="0"/>
        <v>-11.12285217122267</v>
      </c>
      <c r="P42">
        <f t="shared" si="0"/>
        <v>-8.9700306359715611</v>
      </c>
      <c r="Q42">
        <f t="shared" si="0"/>
        <v>-4.1301307358707771</v>
      </c>
      <c r="S42" t="s">
        <v>32</v>
      </c>
      <c r="T42" s="13" t="s">
        <v>31</v>
      </c>
      <c r="U42">
        <f t="shared" si="1"/>
        <v>-17.947361685686399</v>
      </c>
    </row>
    <row r="45" spans="1:33" x14ac:dyDescent="0.25">
      <c r="H45" s="2">
        <f t="shared" ref="H45:H51" si="3">E45</f>
        <v>0</v>
      </c>
    </row>
    <row r="46" spans="1:33" x14ac:dyDescent="0.25">
      <c r="H46" s="2">
        <f t="shared" si="3"/>
        <v>0</v>
      </c>
    </row>
    <row r="47" spans="1:33" x14ac:dyDescent="0.25">
      <c r="H47" s="2">
        <f t="shared" si="3"/>
        <v>0</v>
      </c>
    </row>
    <row r="48" spans="1:33" x14ac:dyDescent="0.25">
      <c r="H48" s="2">
        <f t="shared" si="3"/>
        <v>0</v>
      </c>
    </row>
    <row r="49" spans="8:8" x14ac:dyDescent="0.25">
      <c r="H49" s="2">
        <f t="shared" si="3"/>
        <v>0</v>
      </c>
    </row>
    <row r="50" spans="8:8" x14ac:dyDescent="0.25">
      <c r="H50" s="2">
        <f t="shared" si="3"/>
        <v>0</v>
      </c>
    </row>
    <row r="51" spans="8:8" x14ac:dyDescent="0.25">
      <c r="H51" s="2">
        <f t="shared" si="3"/>
        <v>0</v>
      </c>
    </row>
  </sheetData>
  <mergeCells count="3">
    <mergeCell ref="X9:Y10"/>
    <mergeCell ref="Z9:AC9"/>
    <mergeCell ref="X11:X15"/>
  </mergeCells>
  <conditionalFormatting sqref="Z11:AD15">
    <cfRule type="colorScale" priority="1">
      <colorScale>
        <cfvo type="min"/>
        <cfvo type="num" val="0"/>
        <cfvo type="max"/>
        <color rgb="FF63BE7B"/>
        <color rgb="FFFCFCFF"/>
        <color rgb="FFF8696B"/>
      </colorScale>
    </cfRule>
  </conditionalFormatting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7AD52-B8A3-45E6-AF08-733A1C3AB1A8}">
  <dimension ref="A5:AE51"/>
  <sheetViews>
    <sheetView topLeftCell="C3" zoomScale="70" zoomScaleNormal="70" workbookViewId="0">
      <selection activeCell="W25" sqref="W25"/>
    </sheetView>
  </sheetViews>
  <sheetFormatPr defaultColWidth="8.5703125" defaultRowHeight="15" x14ac:dyDescent="0.25"/>
  <cols>
    <col min="2" max="2" width="9.7109375" customWidth="1"/>
    <col min="8" max="8" width="10.5703125" style="2" bestFit="1" customWidth="1"/>
    <col min="9" max="9" width="14.42578125" customWidth="1"/>
    <col min="10" max="10" width="10" bestFit="1" customWidth="1"/>
    <col min="16" max="16" width="8.85546875" style="2" customWidth="1"/>
    <col min="17" max="18" width="11.5703125" customWidth="1"/>
    <col min="20" max="20" width="8.85546875" style="2" customWidth="1"/>
    <col min="22" max="22" width="18.28515625" customWidth="1"/>
  </cols>
  <sheetData>
    <row r="5" spans="1:31" x14ac:dyDescent="0.25">
      <c r="Z5" t="s">
        <v>26</v>
      </c>
      <c r="AA5" s="6">
        <v>7.1800000000000003E-2</v>
      </c>
      <c r="AB5" s="6">
        <f>AC5/2</f>
        <v>0.14344999999999999</v>
      </c>
      <c r="AC5" s="6">
        <v>0.28689999999999999</v>
      </c>
      <c r="AD5" s="6">
        <v>0.43049999999999999</v>
      </c>
      <c r="AE5" s="6">
        <v>0.57410000000000005</v>
      </c>
    </row>
    <row r="6" spans="1:31" x14ac:dyDescent="0.25">
      <c r="Z6" t="s">
        <v>18</v>
      </c>
      <c r="AA6">
        <v>30</v>
      </c>
      <c r="AB6">
        <v>60</v>
      </c>
      <c r="AC6">
        <v>120</v>
      </c>
      <c r="AD6">
        <v>180</v>
      </c>
      <c r="AE6">
        <v>240</v>
      </c>
    </row>
    <row r="7" spans="1:31" x14ac:dyDescent="0.25">
      <c r="B7" t="s">
        <v>7</v>
      </c>
      <c r="I7" t="s">
        <v>8</v>
      </c>
      <c r="Q7" t="s">
        <v>24</v>
      </c>
      <c r="U7" t="s">
        <v>9</v>
      </c>
    </row>
    <row r="8" spans="1:31" x14ac:dyDescent="0.25">
      <c r="B8" s="1" t="s">
        <v>10</v>
      </c>
      <c r="C8">
        <v>0.56799999999999995</v>
      </c>
      <c r="D8">
        <v>0.60799999999999998</v>
      </c>
      <c r="E8">
        <v>0.64800000000000002</v>
      </c>
      <c r="F8">
        <v>0.6835</v>
      </c>
      <c r="G8">
        <v>0.72350000000000003</v>
      </c>
      <c r="I8" s="1" t="s">
        <v>10</v>
      </c>
      <c r="J8" s="1"/>
      <c r="L8">
        <v>0.60799999999999998</v>
      </c>
      <c r="M8">
        <v>0.64800000000000002</v>
      </c>
      <c r="N8">
        <v>0.6835</v>
      </c>
      <c r="O8">
        <v>0.72350000000000003</v>
      </c>
      <c r="V8" s="12" t="s">
        <v>37</v>
      </c>
    </row>
    <row r="9" spans="1:31" ht="14.45" customHeight="1" x14ac:dyDescent="0.25">
      <c r="V9" s="48" t="s">
        <v>33</v>
      </c>
      <c r="W9" s="48"/>
      <c r="X9" s="49" t="s">
        <v>11</v>
      </c>
      <c r="Y9" s="49"/>
      <c r="Z9" s="49"/>
      <c r="AA9" s="49"/>
    </row>
    <row r="10" spans="1:31" x14ac:dyDescent="0.25">
      <c r="H10" s="2" t="s">
        <v>25</v>
      </c>
      <c r="V10" s="48"/>
      <c r="W10" s="48"/>
      <c r="X10" t="s">
        <v>27</v>
      </c>
      <c r="Y10" t="s">
        <v>12</v>
      </c>
      <c r="Z10" t="s">
        <v>13</v>
      </c>
      <c r="AA10" t="s">
        <v>14</v>
      </c>
      <c r="AB10" t="s">
        <v>28</v>
      </c>
    </row>
    <row r="11" spans="1:31" ht="15" customHeight="1" x14ac:dyDescent="0.25">
      <c r="B11" s="13" t="s">
        <v>15</v>
      </c>
      <c r="D11">
        <v>11.308961</v>
      </c>
      <c r="E11">
        <v>11.120588</v>
      </c>
      <c r="F11">
        <v>11.069881000000001</v>
      </c>
      <c r="G11">
        <v>11.199204</v>
      </c>
      <c r="H11" s="2">
        <f>MIN(D11:G11)</f>
        <v>11.069881000000001</v>
      </c>
      <c r="J11" s="13" t="s">
        <v>15</v>
      </c>
      <c r="R11" s="13" t="s">
        <v>15</v>
      </c>
      <c r="V11" s="47" t="s">
        <v>16</v>
      </c>
      <c r="W11">
        <v>30</v>
      </c>
      <c r="X11" s="25">
        <v>-2.68425649742758</v>
      </c>
      <c r="Y11" s="25">
        <v>-1.7121322261729872</v>
      </c>
      <c r="Z11" s="25">
        <v>-1.4163295883668514</v>
      </c>
      <c r="AA11" s="25">
        <v>-0.43584027687379767</v>
      </c>
      <c r="AB11" s="25">
        <v>0.31237914842987069</v>
      </c>
    </row>
    <row r="12" spans="1:31" ht="15" customHeight="1" x14ac:dyDescent="0.25">
      <c r="B12" s="13"/>
      <c r="J12" s="13"/>
      <c r="R12" s="13"/>
      <c r="V12" s="47"/>
      <c r="W12">
        <v>60</v>
      </c>
      <c r="X12" s="25">
        <v>-4.182628521480952</v>
      </c>
      <c r="Y12" s="25">
        <v>-4.542280084130998</v>
      </c>
      <c r="Z12" s="25">
        <v>-3.1454629006400432</v>
      </c>
      <c r="AA12" s="25">
        <v>-1.3899426741805057</v>
      </c>
      <c r="AB12" s="25">
        <v>0.17563874444539185</v>
      </c>
    </row>
    <row r="13" spans="1:31" x14ac:dyDescent="0.25">
      <c r="A13" s="12" t="s">
        <v>19</v>
      </c>
      <c r="B13" s="12" t="s">
        <v>18</v>
      </c>
      <c r="I13" s="12" t="s">
        <v>19</v>
      </c>
      <c r="J13" s="12" t="s">
        <v>18</v>
      </c>
      <c r="Q13" s="12" t="s">
        <v>19</v>
      </c>
      <c r="R13" s="12" t="s">
        <v>18</v>
      </c>
      <c r="V13" s="47"/>
      <c r="W13">
        <v>120</v>
      </c>
      <c r="X13" s="25">
        <v>-2.102976536062128</v>
      </c>
      <c r="Y13" s="25">
        <v>-3.6342847768643667</v>
      </c>
      <c r="Z13" s="44">
        <v>-5.1817991539385178</v>
      </c>
      <c r="AA13" s="25">
        <v>-3.2651118833165462</v>
      </c>
      <c r="AB13" s="25">
        <v>4.1536128527485144E-2</v>
      </c>
    </row>
    <row r="14" spans="1:31" x14ac:dyDescent="0.25">
      <c r="A14" s="13" t="s">
        <v>23</v>
      </c>
      <c r="B14" s="13" t="s">
        <v>30</v>
      </c>
      <c r="D14">
        <v>11.108798</v>
      </c>
      <c r="E14">
        <v>10.913095</v>
      </c>
      <c r="F14">
        <v>10.850683</v>
      </c>
      <c r="G14">
        <v>10.980335</v>
      </c>
      <c r="H14" s="2">
        <f>MIN(D14:G14)</f>
        <v>10.850683</v>
      </c>
      <c r="I14" s="13" t="s">
        <v>23</v>
      </c>
      <c r="J14" s="13" t="s">
        <v>30</v>
      </c>
      <c r="L14">
        <f>(D14-D$11)/D$11*100</f>
        <v>-1.7699503959735989</v>
      </c>
      <c r="M14">
        <f>(E14-E$11)/E$11*100</f>
        <v>-1.8658455829853555</v>
      </c>
      <c r="N14">
        <f>(F14-F$11)/F$11*100</f>
        <v>-1.9801296870309668</v>
      </c>
      <c r="O14">
        <f>(G14-G$11)/G$11*100</f>
        <v>-1.9543263967689111</v>
      </c>
      <c r="Q14" s="13" t="s">
        <v>23</v>
      </c>
      <c r="R14" s="13" t="s">
        <v>30</v>
      </c>
      <c r="S14">
        <f>(H14-H$11)/H$11*100</f>
        <v>-1.9801296870309668</v>
      </c>
      <c r="V14" s="47"/>
      <c r="W14">
        <v>180</v>
      </c>
      <c r="X14" s="25">
        <v>4.6568070605275604</v>
      </c>
      <c r="Y14" s="25">
        <v>1.0140398076546537</v>
      </c>
      <c r="Z14" s="25">
        <v>-5.0925660357143885</v>
      </c>
      <c r="AA14" s="25">
        <v>-3.8418931513355918</v>
      </c>
      <c r="AB14" s="25">
        <v>-6.6233774328738435E-2</v>
      </c>
    </row>
    <row r="15" spans="1:31" x14ac:dyDescent="0.25">
      <c r="A15" t="s">
        <v>23</v>
      </c>
      <c r="B15" s="13" t="s">
        <v>17</v>
      </c>
      <c r="D15">
        <v>10.918384</v>
      </c>
      <c r="E15">
        <v>10.721681999999999</v>
      </c>
      <c r="F15">
        <v>10.657762</v>
      </c>
      <c r="G15">
        <v>11.677771</v>
      </c>
      <c r="H15" s="2">
        <f t="shared" ref="H15:H42" si="0">MIN(D15:G15)</f>
        <v>10.657762</v>
      </c>
      <c r="I15" t="s">
        <v>23</v>
      </c>
      <c r="J15" s="13" t="s">
        <v>17</v>
      </c>
      <c r="L15">
        <f t="shared" ref="L15:O42" si="1">(D15-D$11)/D$11*100</f>
        <v>-3.4536948177644291</v>
      </c>
      <c r="M15">
        <f t="shared" si="1"/>
        <v>-3.5870944953630168</v>
      </c>
      <c r="N15">
        <f t="shared" si="1"/>
        <v>-3.722885548634177</v>
      </c>
      <c r="O15">
        <f t="shared" si="1"/>
        <v>4.2732233469450147</v>
      </c>
      <c r="Q15" t="s">
        <v>23</v>
      </c>
      <c r="R15" s="13" t="s">
        <v>17</v>
      </c>
      <c r="S15">
        <f t="shared" ref="S15:S42" si="2">(H15-H$11)/H$11*100</f>
        <v>-3.722885548634177</v>
      </c>
      <c r="V15" s="47"/>
      <c r="W15">
        <v>240</v>
      </c>
      <c r="X15" s="25">
        <v>12.444713723661515</v>
      </c>
      <c r="Y15" s="25">
        <v>6.2852527502328117</v>
      </c>
      <c r="Z15" s="25">
        <v>-2.4330975192958326</v>
      </c>
      <c r="AA15" s="25">
        <v>-5.0798649055035092</v>
      </c>
      <c r="AB15" s="25">
        <v>-1.0107335390507015</v>
      </c>
    </row>
    <row r="16" spans="1:31" x14ac:dyDescent="0.25">
      <c r="A16" t="s">
        <v>23</v>
      </c>
      <c r="B16" s="13" t="s">
        <v>23</v>
      </c>
      <c r="D16">
        <v>10.619084000000001</v>
      </c>
      <c r="E16">
        <v>10.496262</v>
      </c>
      <c r="F16">
        <v>10.594480000000001</v>
      </c>
      <c r="G16">
        <v>11.753565999999999</v>
      </c>
      <c r="H16" s="2">
        <f t="shared" si="0"/>
        <v>10.496262</v>
      </c>
      <c r="I16" t="s">
        <v>23</v>
      </c>
      <c r="J16" s="13" t="s">
        <v>23</v>
      </c>
      <c r="L16">
        <f t="shared" si="1"/>
        <v>-6.1002686276838265</v>
      </c>
      <c r="M16">
        <f t="shared" si="1"/>
        <v>-5.6141455829493907</v>
      </c>
      <c r="N16">
        <f t="shared" si="1"/>
        <v>-4.2945448103732975</v>
      </c>
      <c r="O16">
        <f t="shared" si="1"/>
        <v>4.9500125187468624</v>
      </c>
      <c r="Q16" t="s">
        <v>23</v>
      </c>
      <c r="R16" s="13" t="s">
        <v>23</v>
      </c>
      <c r="S16">
        <f t="shared" si="2"/>
        <v>-5.1817991539385178</v>
      </c>
    </row>
    <row r="17" spans="1:31" x14ac:dyDescent="0.25">
      <c r="A17" t="s">
        <v>23</v>
      </c>
      <c r="B17" s="13" t="s">
        <v>18</v>
      </c>
      <c r="D17">
        <v>10.394321</v>
      </c>
      <c r="E17">
        <v>10.50614</v>
      </c>
      <c r="F17">
        <v>10.919468</v>
      </c>
      <c r="G17">
        <v>12.162979999999999</v>
      </c>
      <c r="H17" s="2">
        <f t="shared" si="0"/>
        <v>10.394321</v>
      </c>
      <c r="I17" t="s">
        <v>23</v>
      </c>
      <c r="J17" s="13" t="s">
        <v>18</v>
      </c>
      <c r="L17">
        <f t="shared" si="1"/>
        <v>-8.0877456381713611</v>
      </c>
      <c r="M17">
        <f t="shared" si="1"/>
        <v>-5.5253193446245783</v>
      </c>
      <c r="N17">
        <f t="shared" si="1"/>
        <v>-1.3587589604621797</v>
      </c>
      <c r="O17">
        <f t="shared" si="1"/>
        <v>8.6057544804077075</v>
      </c>
      <c r="Q17" t="s">
        <v>23</v>
      </c>
      <c r="R17" s="13" t="s">
        <v>18</v>
      </c>
      <c r="S17">
        <f t="shared" si="2"/>
        <v>-6.1026852953523241</v>
      </c>
    </row>
    <row r="18" spans="1:31" x14ac:dyDescent="0.25">
      <c r="A18" t="s">
        <v>23</v>
      </c>
      <c r="B18" s="13" t="s">
        <v>31</v>
      </c>
      <c r="D18">
        <v>10.378399</v>
      </c>
      <c r="E18">
        <v>10.80054</v>
      </c>
      <c r="F18">
        <v>11.256772</v>
      </c>
      <c r="G18">
        <v>12.635011</v>
      </c>
      <c r="H18" s="2">
        <f t="shared" si="0"/>
        <v>10.378399</v>
      </c>
      <c r="I18" t="s">
        <v>23</v>
      </c>
      <c r="J18" s="13" t="s">
        <v>31</v>
      </c>
      <c r="L18">
        <f t="shared" si="1"/>
        <v>-8.22853664452464</v>
      </c>
      <c r="M18">
        <f t="shared" si="1"/>
        <v>-2.8779773155879877</v>
      </c>
      <c r="N18">
        <f t="shared" si="1"/>
        <v>1.6882837313246568</v>
      </c>
      <c r="O18">
        <f t="shared" si="1"/>
        <v>12.820616536675288</v>
      </c>
      <c r="Q18" t="s">
        <v>23</v>
      </c>
      <c r="R18" s="13" t="s">
        <v>31</v>
      </c>
      <c r="S18">
        <f t="shared" si="2"/>
        <v>-6.2465170131458549</v>
      </c>
      <c r="V18" s="12" t="s">
        <v>36</v>
      </c>
    </row>
    <row r="19" spans="1:31" s="2" customFormat="1" x14ac:dyDescent="0.25">
      <c r="A19"/>
      <c r="B19" s="13"/>
      <c r="C19"/>
      <c r="D19"/>
      <c r="E19"/>
      <c r="F19"/>
      <c r="G19"/>
      <c r="I19"/>
      <c r="J19" s="13"/>
      <c r="K19"/>
      <c r="L19"/>
      <c r="M19"/>
      <c r="N19"/>
      <c r="O19"/>
      <c r="Q19"/>
      <c r="R19" s="13"/>
      <c r="S19"/>
      <c r="U19"/>
      <c r="V19" s="48" t="s">
        <v>33</v>
      </c>
      <c r="W19" s="48"/>
      <c r="X19" s="49" t="s">
        <v>11</v>
      </c>
      <c r="Y19" s="49"/>
      <c r="Z19" s="49"/>
      <c r="AA19" s="49"/>
      <c r="AB19"/>
      <c r="AC19"/>
      <c r="AD19"/>
      <c r="AE19"/>
    </row>
    <row r="20" spans="1:31" s="2" customFormat="1" x14ac:dyDescent="0.25">
      <c r="A20" t="s">
        <v>20</v>
      </c>
      <c r="B20" s="13" t="s">
        <v>30</v>
      </c>
      <c r="C20"/>
      <c r="D20">
        <v>11.009072</v>
      </c>
      <c r="E20">
        <v>10.88035</v>
      </c>
      <c r="F20">
        <v>10.764243</v>
      </c>
      <c r="G20">
        <v>10.932705</v>
      </c>
      <c r="H20" s="2">
        <f t="shared" si="0"/>
        <v>10.764243</v>
      </c>
      <c r="I20" t="s">
        <v>20</v>
      </c>
      <c r="J20" s="13" t="s">
        <v>30</v>
      </c>
      <c r="K20"/>
      <c r="L20">
        <f t="shared" si="1"/>
        <v>-2.6517820691043172</v>
      </c>
      <c r="M20">
        <f t="shared" si="1"/>
        <v>-2.1602994374038471</v>
      </c>
      <c r="N20">
        <f t="shared" si="1"/>
        <v>-2.7609872228978798</v>
      </c>
      <c r="O20">
        <f t="shared" si="1"/>
        <v>-2.3796244804541433</v>
      </c>
      <c r="Q20" t="s">
        <v>20</v>
      </c>
      <c r="R20" s="13" t="s">
        <v>30</v>
      </c>
      <c r="S20">
        <f t="shared" si="2"/>
        <v>-2.7609872228978798</v>
      </c>
      <c r="U20"/>
      <c r="V20" s="48"/>
      <c r="W20" s="48"/>
      <c r="X20" t="s">
        <v>27</v>
      </c>
      <c r="Y20" t="s">
        <v>12</v>
      </c>
      <c r="Z20" t="s">
        <v>13</v>
      </c>
      <c r="AA20" t="s">
        <v>14</v>
      </c>
      <c r="AB20" t="s">
        <v>28</v>
      </c>
      <c r="AC20"/>
      <c r="AD20"/>
      <c r="AE20"/>
    </row>
    <row r="21" spans="1:31" s="2" customFormat="1" x14ac:dyDescent="0.25">
      <c r="A21" t="s">
        <v>20</v>
      </c>
      <c r="B21" s="13" t="s">
        <v>17</v>
      </c>
      <c r="C21"/>
      <c r="D21">
        <v>10.759328999999999</v>
      </c>
      <c r="E21">
        <v>10.567055999999999</v>
      </c>
      <c r="F21">
        <v>10.573487</v>
      </c>
      <c r="G21">
        <v>11.662921000000001</v>
      </c>
      <c r="H21" s="2">
        <f t="shared" si="0"/>
        <v>10.567055999999999</v>
      </c>
      <c r="I21" t="s">
        <v>20</v>
      </c>
      <c r="J21" s="13" t="s">
        <v>17</v>
      </c>
      <c r="K21"/>
      <c r="L21">
        <f t="shared" si="1"/>
        <v>-4.8601458613218389</v>
      </c>
      <c r="M21">
        <f t="shared" si="1"/>
        <v>-4.9775425544045033</v>
      </c>
      <c r="N21">
        <f t="shared" si="1"/>
        <v>-4.484185512021317</v>
      </c>
      <c r="O21">
        <f t="shared" si="1"/>
        <v>4.1406246372510118</v>
      </c>
      <c r="Q21" t="s">
        <v>20</v>
      </c>
      <c r="R21" s="13" t="s">
        <v>17</v>
      </c>
      <c r="S21">
        <f t="shared" si="2"/>
        <v>-4.542280084130998</v>
      </c>
      <c r="U21"/>
      <c r="V21" s="47" t="s">
        <v>16</v>
      </c>
      <c r="W21">
        <v>30</v>
      </c>
      <c r="X21" s="25">
        <v>-3.0146665533261046</v>
      </c>
      <c r="Y21" s="25">
        <v>-2.7609872228978798</v>
      </c>
      <c r="Z21" s="25">
        <v>-1.9801296870309668</v>
      </c>
      <c r="AA21" s="25">
        <v>-0.94893522342290537</v>
      </c>
      <c r="AB21" s="25">
        <v>-0.26699474005186907</v>
      </c>
      <c r="AC21"/>
      <c r="AD21"/>
      <c r="AE21"/>
    </row>
    <row r="22" spans="1:31" s="2" customFormat="1" x14ac:dyDescent="0.25">
      <c r="A22" t="s">
        <v>21</v>
      </c>
      <c r="B22" s="13" t="s">
        <v>23</v>
      </c>
      <c r="C22"/>
      <c r="D22">
        <v>10.495385000000001</v>
      </c>
      <c r="E22">
        <v>10.66757</v>
      </c>
      <c r="F22">
        <v>11.018117</v>
      </c>
      <c r="G22">
        <v>12.269337</v>
      </c>
      <c r="H22" s="2">
        <f t="shared" si="0"/>
        <v>10.495385000000001</v>
      </c>
      <c r="I22" t="s">
        <v>21</v>
      </c>
      <c r="J22" s="13" t="s">
        <v>23</v>
      </c>
      <c r="K22"/>
      <c r="L22">
        <f t="shared" si="1"/>
        <v>-7.1940826394219544</v>
      </c>
      <c r="M22">
        <f t="shared" si="1"/>
        <v>-4.0736874704826773</v>
      </c>
      <c r="N22">
        <f t="shared" si="1"/>
        <v>-0.46761116944256553</v>
      </c>
      <c r="O22">
        <f t="shared" si="1"/>
        <v>9.5554380472040705</v>
      </c>
      <c r="Q22" t="s">
        <v>21</v>
      </c>
      <c r="R22" s="13" t="s">
        <v>23</v>
      </c>
      <c r="S22">
        <f t="shared" si="2"/>
        <v>-5.1897215516589554</v>
      </c>
      <c r="U22"/>
      <c r="V22" s="47"/>
      <c r="W22">
        <v>60</v>
      </c>
      <c r="X22" s="25">
        <v>-4.182628521480952</v>
      </c>
      <c r="Y22" s="25">
        <v>-4.542280084130998</v>
      </c>
      <c r="Z22" s="25">
        <v>-3.722885548634177</v>
      </c>
      <c r="AA22" s="25">
        <v>-1.9813130782526036</v>
      </c>
      <c r="AB22" s="25">
        <v>-0.34766408058045684</v>
      </c>
      <c r="AC22"/>
      <c r="AD22"/>
      <c r="AE22"/>
    </row>
    <row r="23" spans="1:31" s="2" customFormat="1" x14ac:dyDescent="0.25">
      <c r="A23" t="s">
        <v>20</v>
      </c>
      <c r="B23" s="13" t="s">
        <v>18</v>
      </c>
      <c r="C23"/>
      <c r="D23">
        <v>10.615292</v>
      </c>
      <c r="E23">
        <v>11.182134</v>
      </c>
      <c r="F23">
        <v>11.561756000000001</v>
      </c>
      <c r="G23">
        <v>13.064632</v>
      </c>
      <c r="H23" s="2">
        <f t="shared" si="0"/>
        <v>10.615292</v>
      </c>
      <c r="I23" t="s">
        <v>20</v>
      </c>
      <c r="J23" s="13" t="s">
        <v>18</v>
      </c>
      <c r="K23"/>
      <c r="L23">
        <f t="shared" si="1"/>
        <v>-6.1337995594820764</v>
      </c>
      <c r="M23">
        <f t="shared" si="1"/>
        <v>0.55344195828493858</v>
      </c>
      <c r="N23">
        <f t="shared" si="1"/>
        <v>4.4433630316351209</v>
      </c>
      <c r="O23">
        <f t="shared" si="1"/>
        <v>16.656790964786421</v>
      </c>
      <c r="Q23" t="s">
        <v>20</v>
      </c>
      <c r="R23" s="13" t="s">
        <v>18</v>
      </c>
      <c r="S23">
        <f t="shared" si="2"/>
        <v>-4.1065391759857253</v>
      </c>
      <c r="U23"/>
      <c r="V23" s="47"/>
      <c r="W23">
        <v>120</v>
      </c>
      <c r="X23" s="25">
        <v>-4.9747960253592574</v>
      </c>
      <c r="Y23" s="25">
        <v>-5.1897215516589554</v>
      </c>
      <c r="Z23" s="44">
        <v>-5.1817991539385178</v>
      </c>
      <c r="AA23" s="25">
        <v>-3.9147033287891744</v>
      </c>
      <c r="AB23" s="25">
        <v>-0.85561895380808528</v>
      </c>
      <c r="AC23"/>
      <c r="AD23"/>
      <c r="AE23"/>
    </row>
    <row r="24" spans="1:31" s="2" customFormat="1" x14ac:dyDescent="0.25">
      <c r="A24" t="s">
        <v>20</v>
      </c>
      <c r="B24" s="13" t="s">
        <v>31</v>
      </c>
      <c r="C24"/>
      <c r="D24">
        <v>11.230423</v>
      </c>
      <c r="E24">
        <v>11.765651</v>
      </c>
      <c r="F24">
        <v>12.152825</v>
      </c>
      <c r="G24">
        <v>13.876481999999999</v>
      </c>
      <c r="H24" s="2">
        <f t="shared" si="0"/>
        <v>11.230423</v>
      </c>
      <c r="I24" t="s">
        <v>20</v>
      </c>
      <c r="J24" s="13" t="s">
        <v>31</v>
      </c>
      <c r="K24"/>
      <c r="L24">
        <f t="shared" si="1"/>
        <v>-0.69447582319896584</v>
      </c>
      <c r="M24">
        <f t="shared" si="1"/>
        <v>5.800619535585712</v>
      </c>
      <c r="N24">
        <f t="shared" si="1"/>
        <v>9.7827971231127009</v>
      </c>
      <c r="O24">
        <f t="shared" si="1"/>
        <v>23.905966888360989</v>
      </c>
      <c r="Q24" t="s">
        <v>20</v>
      </c>
      <c r="R24" s="13" t="s">
        <v>31</v>
      </c>
      <c r="S24">
        <f t="shared" si="2"/>
        <v>1.450259492401043</v>
      </c>
      <c r="U24"/>
      <c r="V24" s="47"/>
      <c r="W24">
        <v>180</v>
      </c>
      <c r="X24" s="25">
        <v>-0.40800799936331777</v>
      </c>
      <c r="Y24" s="25">
        <v>-4.1065391759857253</v>
      </c>
      <c r="Z24" s="25">
        <v>-6.1026852953523241</v>
      </c>
      <c r="AA24" s="25">
        <v>-4.7140795822466428</v>
      </c>
      <c r="AB24" s="25">
        <v>-1.7147158131148805</v>
      </c>
      <c r="AC24"/>
      <c r="AD24"/>
      <c r="AE24"/>
    </row>
    <row r="25" spans="1:31" x14ac:dyDescent="0.25">
      <c r="V25" s="47"/>
      <c r="W25">
        <v>240</v>
      </c>
      <c r="X25" s="25">
        <v>8.5237501649746736</v>
      </c>
      <c r="Y25" s="25">
        <v>1.450259492401043</v>
      </c>
      <c r="Z25" s="25">
        <v>-6.2465170131458549</v>
      </c>
      <c r="AA25" s="25">
        <v>-5.0798649055035092</v>
      </c>
      <c r="AB25" s="25">
        <v>-2.1083243803614575</v>
      </c>
    </row>
    <row r="26" spans="1:31" x14ac:dyDescent="0.25">
      <c r="A26" t="s">
        <v>22</v>
      </c>
      <c r="B26" s="13" t="s">
        <v>30</v>
      </c>
      <c r="D26">
        <v>11.223573999999999</v>
      </c>
      <c r="E26">
        <v>11.021634000000001</v>
      </c>
      <c r="F26">
        <v>10.964835000000001</v>
      </c>
      <c r="G26">
        <v>11.866345000000001</v>
      </c>
      <c r="H26" s="2">
        <f t="shared" si="0"/>
        <v>10.964835000000001</v>
      </c>
      <c r="I26" t="s">
        <v>22</v>
      </c>
      <c r="J26" s="13" t="s">
        <v>30</v>
      </c>
      <c r="L26">
        <f t="shared" si="1"/>
        <v>-0.755038415995959</v>
      </c>
      <c r="M26">
        <f t="shared" si="1"/>
        <v>-0.88982704871360307</v>
      </c>
      <c r="N26">
        <f t="shared" si="1"/>
        <v>-0.94893522342290537</v>
      </c>
      <c r="O26">
        <f t="shared" si="1"/>
        <v>5.9570394467321144</v>
      </c>
      <c r="Q26" t="s">
        <v>22</v>
      </c>
      <c r="R26" s="13" t="s">
        <v>30</v>
      </c>
      <c r="S26">
        <f t="shared" si="2"/>
        <v>-0.94893522342290537</v>
      </c>
    </row>
    <row r="27" spans="1:31" s="2" customFormat="1" x14ac:dyDescent="0.25">
      <c r="A27" t="s">
        <v>22</v>
      </c>
      <c r="B27" s="13" t="s">
        <v>17</v>
      </c>
      <c r="C27"/>
      <c r="D27">
        <v>11.147981</v>
      </c>
      <c r="E27">
        <v>10.916016000000001</v>
      </c>
      <c r="F27">
        <v>10.850552</v>
      </c>
      <c r="G27">
        <v>10.959847</v>
      </c>
      <c r="H27" s="2">
        <f t="shared" si="0"/>
        <v>10.850552</v>
      </c>
      <c r="I27" t="s">
        <v>22</v>
      </c>
      <c r="J27" s="13" t="s">
        <v>17</v>
      </c>
      <c r="K27"/>
      <c r="L27">
        <f t="shared" si="1"/>
        <v>-1.4234729432703883</v>
      </c>
      <c r="M27">
        <f t="shared" si="1"/>
        <v>-1.8395789862910024</v>
      </c>
      <c r="N27">
        <f t="shared" si="1"/>
        <v>-1.9813130782526036</v>
      </c>
      <c r="O27">
        <f t="shared" si="1"/>
        <v>-2.1372679701164481</v>
      </c>
      <c r="Q27" t="s">
        <v>22</v>
      </c>
      <c r="R27" s="13" t="s">
        <v>17</v>
      </c>
      <c r="S27">
        <f t="shared" si="2"/>
        <v>-1.9813130782526036</v>
      </c>
      <c r="U27"/>
      <c r="V27"/>
      <c r="W27"/>
      <c r="X27"/>
      <c r="Y27"/>
      <c r="Z27"/>
      <c r="AA27"/>
      <c r="AB27"/>
      <c r="AC27"/>
      <c r="AD27"/>
      <c r="AE27"/>
    </row>
    <row r="28" spans="1:31" s="2" customFormat="1" x14ac:dyDescent="0.25">
      <c r="A28" t="s">
        <v>22</v>
      </c>
      <c r="B28" s="13" t="s">
        <v>23</v>
      </c>
      <c r="C28"/>
      <c r="D28">
        <v>10.998481999999999</v>
      </c>
      <c r="E28">
        <v>10.708437</v>
      </c>
      <c r="F28">
        <v>10.636528</v>
      </c>
      <c r="G28">
        <v>11.667160000000001</v>
      </c>
      <c r="H28" s="2">
        <f t="shared" si="0"/>
        <v>10.636528</v>
      </c>
      <c r="I28" t="s">
        <v>22</v>
      </c>
      <c r="J28" s="13" t="s">
        <v>23</v>
      </c>
      <c r="K28"/>
      <c r="L28">
        <f t="shared" si="1"/>
        <v>-2.7454246238889746</v>
      </c>
      <c r="M28">
        <f t="shared" si="1"/>
        <v>-3.706197909678874</v>
      </c>
      <c r="N28">
        <f t="shared" si="1"/>
        <v>-3.9147033287891744</v>
      </c>
      <c r="O28">
        <f t="shared" si="1"/>
        <v>4.178475541654576</v>
      </c>
      <c r="Q28" t="s">
        <v>22</v>
      </c>
      <c r="R28" s="13" t="s">
        <v>23</v>
      </c>
      <c r="S28">
        <f t="shared" si="2"/>
        <v>-3.9147033287891744</v>
      </c>
      <c r="U28"/>
      <c r="V28"/>
      <c r="W28"/>
      <c r="X28"/>
      <c r="Y28"/>
      <c r="Z28"/>
      <c r="AA28"/>
      <c r="AB28"/>
      <c r="AC28"/>
      <c r="AD28"/>
      <c r="AE28"/>
    </row>
    <row r="29" spans="1:31" s="2" customFormat="1" x14ac:dyDescent="0.25">
      <c r="A29" t="s">
        <v>22</v>
      </c>
      <c r="B29" s="13" t="s">
        <v>18</v>
      </c>
      <c r="C29"/>
      <c r="D29">
        <v>10.790494000000001</v>
      </c>
      <c r="E29">
        <v>10.644588000000001</v>
      </c>
      <c r="F29">
        <v>10.548038</v>
      </c>
      <c r="G29">
        <v>11.725153000000001</v>
      </c>
      <c r="H29" s="2">
        <f t="shared" si="0"/>
        <v>10.548038</v>
      </c>
      <c r="I29" t="s">
        <v>22</v>
      </c>
      <c r="J29" s="13" t="s">
        <v>18</v>
      </c>
      <c r="K29"/>
      <c r="L29">
        <f t="shared" si="1"/>
        <v>-4.5845679368776615</v>
      </c>
      <c r="M29">
        <f t="shared" si="1"/>
        <v>-4.2803492045564422</v>
      </c>
      <c r="N29">
        <f t="shared" si="1"/>
        <v>-4.7140795822466428</v>
      </c>
      <c r="O29">
        <f t="shared" si="1"/>
        <v>4.6963069875323349</v>
      </c>
      <c r="Q29" t="s">
        <v>22</v>
      </c>
      <c r="R29" s="13" t="s">
        <v>18</v>
      </c>
      <c r="S29">
        <f t="shared" si="2"/>
        <v>-4.7140795822466428</v>
      </c>
      <c r="U29"/>
      <c r="V29"/>
      <c r="W29"/>
      <c r="X29"/>
      <c r="Y29"/>
      <c r="Z29"/>
      <c r="AA29"/>
      <c r="AB29"/>
      <c r="AC29"/>
      <c r="AD29"/>
      <c r="AE29"/>
    </row>
    <row r="30" spans="1:31" s="2" customFormat="1" x14ac:dyDescent="0.25">
      <c r="A30" t="s">
        <v>22</v>
      </c>
      <c r="B30" s="13" t="s">
        <v>31</v>
      </c>
      <c r="C30"/>
      <c r="D30">
        <v>10.662549</v>
      </c>
      <c r="E30">
        <v>10.507546</v>
      </c>
      <c r="F30">
        <v>10.67536</v>
      </c>
      <c r="G30">
        <v>11.898202</v>
      </c>
      <c r="H30" s="2">
        <f t="shared" si="0"/>
        <v>10.507546</v>
      </c>
      <c r="I30" t="s">
        <v>22</v>
      </c>
      <c r="J30" s="13" t="s">
        <v>31</v>
      </c>
      <c r="K30"/>
      <c r="L30">
        <f t="shared" si="1"/>
        <v>-5.7159273959827051</v>
      </c>
      <c r="M30">
        <f t="shared" si="1"/>
        <v>-5.512676128276671</v>
      </c>
      <c r="N30">
        <f t="shared" si="1"/>
        <v>-3.5639136500202757</v>
      </c>
      <c r="O30">
        <f t="shared" si="1"/>
        <v>6.2414971635484058</v>
      </c>
      <c r="Q30" t="s">
        <v>22</v>
      </c>
      <c r="R30" s="13" t="s">
        <v>31</v>
      </c>
      <c r="S30">
        <f t="shared" si="2"/>
        <v>-5.0798649055035092</v>
      </c>
      <c r="U30"/>
      <c r="V30"/>
      <c r="W30"/>
      <c r="X30"/>
      <c r="Y30"/>
      <c r="Z30"/>
      <c r="AA30"/>
      <c r="AB30"/>
      <c r="AC30"/>
      <c r="AD30"/>
      <c r="AE30"/>
    </row>
    <row r="31" spans="1:31" s="2" customFormat="1" x14ac:dyDescent="0.25">
      <c r="A31"/>
      <c r="B31"/>
      <c r="C31"/>
      <c r="D31"/>
      <c r="E31"/>
      <c r="F31"/>
      <c r="G31"/>
      <c r="I31"/>
      <c r="J31"/>
      <c r="K31"/>
      <c r="L31"/>
      <c r="M31"/>
      <c r="N31"/>
      <c r="O31"/>
      <c r="Q31"/>
      <c r="R31"/>
      <c r="S31"/>
      <c r="U31"/>
      <c r="V31"/>
      <c r="W31"/>
      <c r="X31"/>
      <c r="Y31"/>
      <c r="Z31"/>
      <c r="AA31"/>
      <c r="AB31"/>
      <c r="AC31"/>
      <c r="AD31"/>
      <c r="AE31"/>
    </row>
    <row r="32" spans="1:31" s="2" customFormat="1" x14ac:dyDescent="0.25">
      <c r="A32" t="s">
        <v>29</v>
      </c>
      <c r="B32" s="13" t="s">
        <v>30</v>
      </c>
      <c r="C32"/>
      <c r="D32">
        <v>10.966125999999999</v>
      </c>
      <c r="E32">
        <v>10.772736999999999</v>
      </c>
      <c r="F32">
        <v>10.736160999999999</v>
      </c>
      <c r="G32">
        <v>11.737309</v>
      </c>
      <c r="H32" s="2">
        <f t="shared" si="0"/>
        <v>10.736160999999999</v>
      </c>
      <c r="I32" t="s">
        <v>29</v>
      </c>
      <c r="J32" s="13" t="s">
        <v>30</v>
      </c>
      <c r="K32"/>
      <c r="L32">
        <f t="shared" si="1"/>
        <v>-3.0315340197919234</v>
      </c>
      <c r="M32">
        <f t="shared" si="1"/>
        <v>-3.1279910738532921</v>
      </c>
      <c r="N32">
        <f t="shared" si="1"/>
        <v>-3.0146665533261046</v>
      </c>
      <c r="O32">
        <f t="shared" si="1"/>
        <v>4.8048504161545758</v>
      </c>
      <c r="Q32" t="s">
        <v>29</v>
      </c>
      <c r="R32" s="13" t="s">
        <v>30</v>
      </c>
      <c r="S32">
        <f t="shared" si="2"/>
        <v>-3.0146665533261046</v>
      </c>
      <c r="U32"/>
      <c r="V32"/>
      <c r="W32"/>
      <c r="X32"/>
      <c r="Y32"/>
      <c r="Z32"/>
      <c r="AA32"/>
      <c r="AB32"/>
      <c r="AC32"/>
      <c r="AD32"/>
      <c r="AE32"/>
    </row>
    <row r="33" spans="1:31" s="2" customFormat="1" x14ac:dyDescent="0.25">
      <c r="A33" t="s">
        <v>29</v>
      </c>
      <c r="B33" s="13" t="s">
        <v>17</v>
      </c>
      <c r="C33"/>
      <c r="D33">
        <v>10.697136</v>
      </c>
      <c r="E33">
        <v>10.606869</v>
      </c>
      <c r="F33">
        <v>10.618784</v>
      </c>
      <c r="G33">
        <v>11.725833</v>
      </c>
      <c r="H33" s="2">
        <f t="shared" si="0"/>
        <v>10.606869</v>
      </c>
      <c r="I33" t="s">
        <v>29</v>
      </c>
      <c r="J33" s="13" t="s">
        <v>17</v>
      </c>
      <c r="K33"/>
      <c r="L33">
        <f t="shared" si="1"/>
        <v>-5.4100902815033107</v>
      </c>
      <c r="M33">
        <f t="shared" si="1"/>
        <v>-4.6195309096965023</v>
      </c>
      <c r="N33">
        <f t="shared" si="1"/>
        <v>-4.0749941214363616</v>
      </c>
      <c r="O33">
        <f t="shared" si="1"/>
        <v>4.702378847639527</v>
      </c>
      <c r="Q33" t="s">
        <v>29</v>
      </c>
      <c r="R33" s="13" t="s">
        <v>17</v>
      </c>
      <c r="S33">
        <f t="shared" si="2"/>
        <v>-4.182628521480952</v>
      </c>
      <c r="U33"/>
      <c r="V33"/>
      <c r="W33"/>
      <c r="X33"/>
      <c r="Y33"/>
      <c r="Z33"/>
      <c r="AA33"/>
      <c r="AB33"/>
      <c r="AC33"/>
      <c r="AD33"/>
      <c r="AE33"/>
    </row>
    <row r="34" spans="1:31" s="2" customFormat="1" x14ac:dyDescent="0.25">
      <c r="A34" t="s">
        <v>29</v>
      </c>
      <c r="B34" s="13" t="s">
        <v>23</v>
      </c>
      <c r="C34"/>
      <c r="D34">
        <v>10.519177000000001</v>
      </c>
      <c r="E34">
        <v>10.837084000000001</v>
      </c>
      <c r="F34">
        <v>11.294568999999999</v>
      </c>
      <c r="G34">
        <v>12.59685</v>
      </c>
      <c r="H34" s="2">
        <f t="shared" si="0"/>
        <v>10.519177000000001</v>
      </c>
      <c r="I34" t="s">
        <v>29</v>
      </c>
      <c r="J34" s="13" t="s">
        <v>23</v>
      </c>
      <c r="K34"/>
      <c r="L34">
        <f t="shared" si="1"/>
        <v>-6.9837008015148268</v>
      </c>
      <c r="M34">
        <f t="shared" si="1"/>
        <v>-2.549361598505393</v>
      </c>
      <c r="N34">
        <f t="shared" si="1"/>
        <v>2.0297237160905222</v>
      </c>
      <c r="O34">
        <f t="shared" si="1"/>
        <v>12.479869104982818</v>
      </c>
      <c r="Q34" t="s">
        <v>29</v>
      </c>
      <c r="R34" s="13" t="s">
        <v>23</v>
      </c>
      <c r="S34">
        <f t="shared" si="2"/>
        <v>-4.9747960253592574</v>
      </c>
      <c r="U34"/>
      <c r="V34"/>
      <c r="W34"/>
      <c r="X34"/>
      <c r="Y34"/>
      <c r="Z34"/>
      <c r="AA34"/>
      <c r="AB34"/>
      <c r="AC34"/>
      <c r="AD34"/>
      <c r="AE34"/>
    </row>
    <row r="35" spans="1:31" s="2" customFormat="1" x14ac:dyDescent="0.25">
      <c r="A35" t="s">
        <v>29</v>
      </c>
      <c r="B35" s="13" t="s">
        <v>18</v>
      </c>
      <c r="C35"/>
      <c r="D35">
        <v>11.024715</v>
      </c>
      <c r="E35">
        <v>11.585383999999999</v>
      </c>
      <c r="F35">
        <v>11.96041</v>
      </c>
      <c r="G35">
        <v>13.640927</v>
      </c>
      <c r="H35" s="2">
        <f t="shared" si="0"/>
        <v>11.024715</v>
      </c>
      <c r="I35" t="s">
        <v>29</v>
      </c>
      <c r="J35" s="13" t="s">
        <v>18</v>
      </c>
      <c r="K35"/>
      <c r="L35">
        <f t="shared" si="1"/>
        <v>-2.5134581328912495</v>
      </c>
      <c r="M35">
        <f t="shared" si="1"/>
        <v>4.1795991363046614</v>
      </c>
      <c r="N35">
        <f t="shared" si="1"/>
        <v>8.0446122230220816</v>
      </c>
      <c r="O35">
        <f t="shared" si="1"/>
        <v>21.802647759608625</v>
      </c>
      <c r="Q35" t="s">
        <v>29</v>
      </c>
      <c r="R35" s="13" t="s">
        <v>18</v>
      </c>
      <c r="S35">
        <f t="shared" si="2"/>
        <v>-0.40800799936331777</v>
      </c>
      <c r="U35"/>
      <c r="V35"/>
      <c r="W35"/>
      <c r="X35"/>
      <c r="Y35"/>
      <c r="Z35"/>
      <c r="AA35"/>
      <c r="AB35"/>
      <c r="AC35"/>
      <c r="AD35"/>
      <c r="AE35"/>
    </row>
    <row r="36" spans="1:31" x14ac:dyDescent="0.25">
      <c r="A36" t="s">
        <v>29</v>
      </c>
      <c r="B36" s="13" t="s">
        <v>31</v>
      </c>
      <c r="D36">
        <v>12.013450000000001</v>
      </c>
      <c r="E36">
        <v>12.447495999999999</v>
      </c>
      <c r="F36">
        <v>12.884050999999999</v>
      </c>
      <c r="G36">
        <v>14.667769</v>
      </c>
      <c r="H36" s="2">
        <f t="shared" si="0"/>
        <v>12.013450000000001</v>
      </c>
      <c r="I36" t="s">
        <v>29</v>
      </c>
      <c r="J36" s="13" t="s">
        <v>31</v>
      </c>
      <c r="L36">
        <f t="shared" si="1"/>
        <v>6.2294758996869879</v>
      </c>
      <c r="M36">
        <f t="shared" si="1"/>
        <v>11.931994962856276</v>
      </c>
      <c r="N36">
        <f t="shared" si="1"/>
        <v>16.388342385975051</v>
      </c>
      <c r="O36">
        <f t="shared" si="1"/>
        <v>30.97153154813503</v>
      </c>
      <c r="Q36" t="s">
        <v>29</v>
      </c>
      <c r="R36" s="13" t="s">
        <v>31</v>
      </c>
      <c r="S36">
        <f t="shared" si="2"/>
        <v>8.5237501649746736</v>
      </c>
    </row>
    <row r="38" spans="1:31" x14ac:dyDescent="0.25">
      <c r="A38" t="s">
        <v>32</v>
      </c>
      <c r="B38" s="13" t="s">
        <v>30</v>
      </c>
      <c r="D38">
        <v>11.310814000000001</v>
      </c>
      <c r="E38">
        <v>11.104461000000001</v>
      </c>
      <c r="F38">
        <v>11.040324999999999</v>
      </c>
      <c r="G38">
        <v>11.172492999999999</v>
      </c>
      <c r="H38" s="2">
        <f t="shared" si="0"/>
        <v>11.040324999999999</v>
      </c>
      <c r="I38" t="s">
        <v>32</v>
      </c>
      <c r="J38" s="13" t="s">
        <v>30</v>
      </c>
      <c r="L38">
        <f t="shared" si="1"/>
        <v>1.6385236450992702E-2</v>
      </c>
      <c r="M38">
        <f t="shared" si="1"/>
        <v>-0.14501931012999594</v>
      </c>
      <c r="N38">
        <f t="shared" si="1"/>
        <v>-0.26699474005186907</v>
      </c>
      <c r="O38">
        <f t="shared" si="1"/>
        <v>-0.23850802253446401</v>
      </c>
      <c r="Q38" t="s">
        <v>32</v>
      </c>
      <c r="R38" s="13" t="s">
        <v>30</v>
      </c>
      <c r="S38">
        <f t="shared" si="2"/>
        <v>-0.26699474005186907</v>
      </c>
    </row>
    <row r="39" spans="1:31" x14ac:dyDescent="0.25">
      <c r="A39" t="s">
        <v>32</v>
      </c>
      <c r="B39" s="13" t="s">
        <v>17</v>
      </c>
      <c r="D39">
        <v>11.305054</v>
      </c>
      <c r="E39">
        <v>11.089324</v>
      </c>
      <c r="F39">
        <v>11.031395</v>
      </c>
      <c r="G39">
        <v>11.893654</v>
      </c>
      <c r="H39" s="2">
        <f t="shared" si="0"/>
        <v>11.031395</v>
      </c>
      <c r="I39" t="s">
        <v>32</v>
      </c>
      <c r="J39" s="13" t="s">
        <v>17</v>
      </c>
      <c r="L39">
        <f t="shared" si="1"/>
        <v>-3.4547824508368921E-2</v>
      </c>
      <c r="M39">
        <f t="shared" si="1"/>
        <v>-0.28113621330095301</v>
      </c>
      <c r="N39">
        <f t="shared" si="1"/>
        <v>-0.34766408058045684</v>
      </c>
      <c r="O39">
        <f t="shared" si="1"/>
        <v>6.2008871344784842</v>
      </c>
      <c r="Q39" t="s">
        <v>32</v>
      </c>
      <c r="R39" s="13" t="s">
        <v>17</v>
      </c>
      <c r="S39">
        <f t="shared" si="2"/>
        <v>-0.34766408058045684</v>
      </c>
    </row>
    <row r="40" spans="1:31" x14ac:dyDescent="0.25">
      <c r="A40" t="s">
        <v>32</v>
      </c>
      <c r="B40" s="13" t="s">
        <v>23</v>
      </c>
      <c r="D40">
        <v>11.283455999999999</v>
      </c>
      <c r="E40">
        <v>11.074479</v>
      </c>
      <c r="F40">
        <v>10.975165000000001</v>
      </c>
      <c r="G40">
        <v>11.05641</v>
      </c>
      <c r="H40" s="2">
        <f t="shared" si="0"/>
        <v>10.975165000000001</v>
      </c>
      <c r="I40" t="s">
        <v>32</v>
      </c>
      <c r="J40" s="13" t="s">
        <v>23</v>
      </c>
      <c r="L40">
        <f t="shared" si="1"/>
        <v>-0.22552911801535769</v>
      </c>
      <c r="M40">
        <f t="shared" si="1"/>
        <v>-0.41462735603548584</v>
      </c>
      <c r="N40">
        <f t="shared" si="1"/>
        <v>-0.85561895380808528</v>
      </c>
      <c r="O40">
        <f t="shared" si="1"/>
        <v>-1.2750370472758628</v>
      </c>
      <c r="Q40" t="s">
        <v>32</v>
      </c>
      <c r="R40" s="13" t="s">
        <v>23</v>
      </c>
      <c r="S40">
        <f t="shared" si="2"/>
        <v>-0.85561895380808528</v>
      </c>
    </row>
    <row r="41" spans="1:31" x14ac:dyDescent="0.25">
      <c r="A41" t="s">
        <v>32</v>
      </c>
      <c r="B41" s="13" t="s">
        <v>18</v>
      </c>
      <c r="D41">
        <v>11.269328</v>
      </c>
      <c r="E41">
        <v>11.062549000000001</v>
      </c>
      <c r="F41">
        <v>10.880064000000001</v>
      </c>
      <c r="G41">
        <v>11.786064</v>
      </c>
      <c r="H41" s="2">
        <f t="shared" si="0"/>
        <v>10.880064000000001</v>
      </c>
      <c r="I41" t="s">
        <v>32</v>
      </c>
      <c r="J41" s="13" t="s">
        <v>18</v>
      </c>
      <c r="L41">
        <f t="shared" si="1"/>
        <v>-0.35045659809066676</v>
      </c>
      <c r="M41">
        <f t="shared" si="1"/>
        <v>-0.52190585605724327</v>
      </c>
      <c r="N41">
        <f t="shared" si="1"/>
        <v>-1.7147158131148805</v>
      </c>
      <c r="O41">
        <f t="shared" si="1"/>
        <v>5.2401938566348081</v>
      </c>
      <c r="Q41" t="s">
        <v>32</v>
      </c>
      <c r="R41" s="13" t="s">
        <v>18</v>
      </c>
      <c r="S41">
        <f t="shared" si="2"/>
        <v>-1.7147158131148805</v>
      </c>
    </row>
    <row r="42" spans="1:31" x14ac:dyDescent="0.25">
      <c r="A42" t="s">
        <v>32</v>
      </c>
      <c r="B42" s="13" t="s">
        <v>31</v>
      </c>
      <c r="D42">
        <v>11.252209000000001</v>
      </c>
      <c r="E42">
        <v>10.957993999999999</v>
      </c>
      <c r="F42">
        <v>10.836492</v>
      </c>
      <c r="G42">
        <v>11.779783999999999</v>
      </c>
      <c r="H42" s="2">
        <f t="shared" si="0"/>
        <v>10.836492</v>
      </c>
      <c r="I42" t="s">
        <v>32</v>
      </c>
      <c r="J42" s="13" t="s">
        <v>31</v>
      </c>
      <c r="L42">
        <f t="shared" si="1"/>
        <v>-0.50183213117455683</v>
      </c>
      <c r="M42">
        <f t="shared" si="1"/>
        <v>-1.4620989465664975</v>
      </c>
      <c r="N42">
        <f t="shared" si="1"/>
        <v>-2.1083243803614575</v>
      </c>
      <c r="O42">
        <f t="shared" si="1"/>
        <v>5.1841184427036016</v>
      </c>
      <c r="Q42" t="s">
        <v>32</v>
      </c>
      <c r="R42" s="13" t="s">
        <v>31</v>
      </c>
      <c r="S42">
        <f t="shared" si="2"/>
        <v>-2.1083243803614575</v>
      </c>
    </row>
    <row r="45" spans="1:31" x14ac:dyDescent="0.25">
      <c r="H45" s="2">
        <f t="shared" ref="H45:H51" si="3">E45</f>
        <v>0</v>
      </c>
    </row>
    <row r="46" spans="1:31" x14ac:dyDescent="0.25">
      <c r="H46" s="2">
        <f t="shared" si="3"/>
        <v>0</v>
      </c>
    </row>
    <row r="47" spans="1:31" x14ac:dyDescent="0.25">
      <c r="H47" s="2">
        <f t="shared" si="3"/>
        <v>0</v>
      </c>
    </row>
    <row r="48" spans="1:31" x14ac:dyDescent="0.25">
      <c r="H48" s="2">
        <f t="shared" si="3"/>
        <v>0</v>
      </c>
    </row>
    <row r="49" spans="8:8" x14ac:dyDescent="0.25">
      <c r="H49" s="2">
        <f t="shared" si="3"/>
        <v>0</v>
      </c>
    </row>
    <row r="50" spans="8:8" x14ac:dyDescent="0.25">
      <c r="H50" s="2">
        <f t="shared" si="3"/>
        <v>0</v>
      </c>
    </row>
    <row r="51" spans="8:8" x14ac:dyDescent="0.25">
      <c r="H51" s="2">
        <f t="shared" si="3"/>
        <v>0</v>
      </c>
    </row>
  </sheetData>
  <mergeCells count="6">
    <mergeCell ref="V21:V25"/>
    <mergeCell ref="V9:W10"/>
    <mergeCell ref="X9:AA9"/>
    <mergeCell ref="V11:V15"/>
    <mergeCell ref="V19:W20"/>
    <mergeCell ref="X19:AA19"/>
  </mergeCells>
  <conditionalFormatting sqref="X11:AB15">
    <cfRule type="colorScale" priority="2">
      <colorScale>
        <cfvo type="min"/>
        <cfvo type="num" val="0"/>
        <cfvo type="max"/>
        <color rgb="FF63BE7B"/>
        <color rgb="FFFCFCFF"/>
        <color rgb="FFF8696B"/>
      </colorScale>
    </cfRule>
  </conditionalFormatting>
  <conditionalFormatting sqref="X21:AB25">
    <cfRule type="colorScale" priority="1">
      <colorScale>
        <cfvo type="min"/>
        <cfvo type="num" val="0"/>
        <cfvo type="max"/>
        <color rgb="FF63BE7B"/>
        <color rgb="FFFCFCFF"/>
        <color rgb="FFF8696B"/>
      </colorScale>
    </cfRule>
  </conditionalFormatting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F8A05-0BC1-4B61-8AD4-E7460D3F4516}">
  <dimension ref="A5:AH51"/>
  <sheetViews>
    <sheetView tabSelected="1" topLeftCell="A2" zoomScale="85" zoomScaleNormal="85" workbookViewId="0">
      <selection activeCell="J8" sqref="J8"/>
    </sheetView>
  </sheetViews>
  <sheetFormatPr defaultColWidth="8.5703125" defaultRowHeight="15" x14ac:dyDescent="0.25"/>
  <cols>
    <col min="2" max="2" width="12.28515625" customWidth="1"/>
    <col min="8" max="8" width="10.5703125" style="2" bestFit="1" customWidth="1"/>
    <col min="9" max="11" width="10.5703125" style="2" customWidth="1"/>
    <col min="12" max="12" width="14.42578125" customWidth="1"/>
    <col min="13" max="13" width="10" bestFit="1" customWidth="1"/>
    <col min="19" max="19" width="8.85546875" style="2" customWidth="1"/>
    <col min="20" max="21" width="11.5703125" customWidth="1"/>
    <col min="23" max="23" width="8.85546875" style="2" customWidth="1"/>
    <col min="25" max="25" width="18.28515625" customWidth="1"/>
  </cols>
  <sheetData>
    <row r="5" spans="1:34" x14ac:dyDescent="0.25">
      <c r="AC5" t="s">
        <v>26</v>
      </c>
      <c r="AD5" s="6">
        <v>7.1800000000000003E-2</v>
      </c>
      <c r="AE5" s="6">
        <f>AF5/2</f>
        <v>0.14344999999999999</v>
      </c>
      <c r="AF5" s="6">
        <v>0.28689999999999999</v>
      </c>
      <c r="AG5" s="6">
        <v>0.43049999999999999</v>
      </c>
      <c r="AH5" s="6">
        <v>0.57410000000000005</v>
      </c>
    </row>
    <row r="6" spans="1:34" x14ac:dyDescent="0.25">
      <c r="AC6" t="s">
        <v>18</v>
      </c>
      <c r="AD6">
        <v>30</v>
      </c>
      <c r="AE6">
        <v>60</v>
      </c>
      <c r="AF6">
        <v>120</v>
      </c>
      <c r="AG6">
        <v>180</v>
      </c>
      <c r="AH6">
        <v>240</v>
      </c>
    </row>
    <row r="7" spans="1:34" x14ac:dyDescent="0.25">
      <c r="B7" t="s">
        <v>7</v>
      </c>
      <c r="L7" t="s">
        <v>8</v>
      </c>
      <c r="T7" t="s">
        <v>24</v>
      </c>
      <c r="X7" t="s">
        <v>9</v>
      </c>
    </row>
    <row r="8" spans="1:34" x14ac:dyDescent="0.25">
      <c r="B8" s="1" t="s">
        <v>10</v>
      </c>
      <c r="C8">
        <v>0.56399999999999995</v>
      </c>
      <c r="D8">
        <v>0.60399999999999998</v>
      </c>
      <c r="E8">
        <v>0.64400000000000002</v>
      </c>
      <c r="F8">
        <v>0.68400000000000005</v>
      </c>
      <c r="G8">
        <v>0.72399999999999998</v>
      </c>
      <c r="L8" s="1" t="s">
        <v>10</v>
      </c>
      <c r="M8" s="1"/>
      <c r="O8">
        <v>0.60799999999999998</v>
      </c>
      <c r="P8">
        <v>0.64800000000000002</v>
      </c>
      <c r="Q8">
        <v>0.6835</v>
      </c>
      <c r="R8">
        <v>0.72350000000000003</v>
      </c>
    </row>
    <row r="9" spans="1:34" x14ac:dyDescent="0.25">
      <c r="Y9" s="48"/>
      <c r="Z9" s="48"/>
      <c r="AA9" s="49"/>
      <c r="AB9" s="49"/>
      <c r="AC9" s="49"/>
      <c r="AD9" s="49"/>
    </row>
    <row r="10" spans="1:34" x14ac:dyDescent="0.25">
      <c r="H10" s="2" t="s">
        <v>25</v>
      </c>
      <c r="I10" s="2" t="s">
        <v>38</v>
      </c>
      <c r="J10" s="2" t="s">
        <v>44</v>
      </c>
      <c r="K10" s="2" t="s">
        <v>39</v>
      </c>
      <c r="Y10" s="48"/>
      <c r="Z10" s="48"/>
      <c r="AC10" s="21"/>
    </row>
    <row r="11" spans="1:34" ht="15" customHeight="1" x14ac:dyDescent="0.25">
      <c r="B11" s="13" t="s">
        <v>15</v>
      </c>
      <c r="D11">
        <v>15.310264999999999</v>
      </c>
      <c r="E11">
        <v>15.048802</v>
      </c>
      <c r="F11">
        <v>16.300446000000001</v>
      </c>
      <c r="G11">
        <v>16.459140000000001</v>
      </c>
      <c r="H11" s="2">
        <f>MIN(D11:G11)</f>
        <v>15.048802</v>
      </c>
      <c r="I11" s="2">
        <v>0.64400000000000002</v>
      </c>
      <c r="K11" s="2">
        <f>2/I11*60</f>
        <v>186.33540372670808</v>
      </c>
      <c r="M11" s="13" t="s">
        <v>15</v>
      </c>
      <c r="U11" s="13" t="s">
        <v>15</v>
      </c>
      <c r="Y11" s="47"/>
      <c r="AA11" s="25"/>
      <c r="AB11" s="25"/>
      <c r="AC11" s="42"/>
      <c r="AD11" s="25"/>
      <c r="AE11" s="25"/>
    </row>
    <row r="12" spans="1:34" ht="15" customHeight="1" x14ac:dyDescent="0.25">
      <c r="B12" s="13"/>
      <c r="M12" s="13"/>
      <c r="U12" s="13"/>
      <c r="Y12" s="47"/>
      <c r="AA12" s="25"/>
      <c r="AB12" s="25"/>
      <c r="AC12" s="42"/>
      <c r="AD12" s="25"/>
      <c r="AE12" s="25"/>
    </row>
    <row r="13" spans="1:34" x14ac:dyDescent="0.25">
      <c r="A13" s="12" t="s">
        <v>19</v>
      </c>
      <c r="B13" s="12" t="s">
        <v>18</v>
      </c>
      <c r="L13" s="12" t="s">
        <v>19</v>
      </c>
      <c r="M13" s="12" t="s">
        <v>18</v>
      </c>
      <c r="T13" s="12" t="s">
        <v>19</v>
      </c>
      <c r="U13" s="12" t="s">
        <v>18</v>
      </c>
      <c r="Y13" s="47"/>
      <c r="Z13" s="18"/>
      <c r="AA13" s="43"/>
      <c r="AB13" s="43"/>
      <c r="AC13" s="44"/>
      <c r="AD13" s="45"/>
      <c r="AE13" s="25"/>
    </row>
    <row r="14" spans="1:34" x14ac:dyDescent="0.25">
      <c r="A14" s="13" t="s">
        <v>23</v>
      </c>
      <c r="B14" s="13" t="s">
        <v>30</v>
      </c>
      <c r="D14">
        <v>14.835711</v>
      </c>
      <c r="E14">
        <v>14.687004999999999</v>
      </c>
      <c r="F14">
        <v>15.630247000000001</v>
      </c>
      <c r="G14">
        <v>16.025825999999999</v>
      </c>
      <c r="H14" s="2">
        <f>MIN(D14:G14)</f>
        <v>14.687004999999999</v>
      </c>
      <c r="I14" s="2">
        <v>0.64400000000000002</v>
      </c>
      <c r="J14" s="2">
        <f>(I14-$I$11)/$I$11*100</f>
        <v>0</v>
      </c>
      <c r="K14" s="2">
        <f>2/I14*60</f>
        <v>186.33540372670808</v>
      </c>
      <c r="L14" s="13" t="s">
        <v>23</v>
      </c>
      <c r="M14" s="13" t="s">
        <v>30</v>
      </c>
      <c r="O14">
        <f>(D14-D$11)/D$11*100</f>
        <v>-3.0995805755158354</v>
      </c>
      <c r="P14">
        <f>(E14-E$11)/E$11*100</f>
        <v>-2.404158151592406</v>
      </c>
      <c r="Q14">
        <f>(F14-F$11)/F$11*100</f>
        <v>-4.1115378070023372</v>
      </c>
      <c r="R14">
        <f>(G14-G$11)/G$11*100</f>
        <v>-2.6326648901461609</v>
      </c>
      <c r="T14" s="13" t="s">
        <v>23</v>
      </c>
      <c r="U14" s="13" t="s">
        <v>30</v>
      </c>
      <c r="V14">
        <f>(H14-H$11)/H$11*100</f>
        <v>-2.404158151592406</v>
      </c>
      <c r="Y14" s="47"/>
      <c r="AA14" s="25"/>
      <c r="AB14" s="25"/>
      <c r="AC14" s="42"/>
      <c r="AD14" s="25"/>
      <c r="AE14" s="25"/>
    </row>
    <row r="15" spans="1:34" x14ac:dyDescent="0.25">
      <c r="A15" t="s">
        <v>23</v>
      </c>
      <c r="B15" s="13" t="s">
        <v>17</v>
      </c>
      <c r="D15">
        <v>14.394450000000001</v>
      </c>
      <c r="E15">
        <v>14.115467000000001</v>
      </c>
      <c r="F15">
        <v>15.148153000000001</v>
      </c>
      <c r="G15">
        <v>15.814506</v>
      </c>
      <c r="H15" s="2">
        <f t="shared" ref="H15:H42" si="0">MIN(D15:G15)</f>
        <v>14.115467000000001</v>
      </c>
      <c r="I15" s="2">
        <v>0.64400000000000002</v>
      </c>
      <c r="J15" s="2">
        <f t="shared" ref="J15:J42" si="1">(I15-$I$11)/$I$11*100</f>
        <v>0</v>
      </c>
      <c r="K15" s="2">
        <f>2/I15*60</f>
        <v>186.33540372670808</v>
      </c>
      <c r="L15" t="s">
        <v>23</v>
      </c>
      <c r="M15" s="13" t="s">
        <v>17</v>
      </c>
      <c r="O15">
        <f t="shared" ref="O15:R42" si="2">(D15-D$11)/D$11*100</f>
        <v>-5.9817057379477001</v>
      </c>
      <c r="P15">
        <f t="shared" si="2"/>
        <v>-6.202055153626179</v>
      </c>
      <c r="Q15">
        <f t="shared" si="2"/>
        <v>-7.06908878444185</v>
      </c>
      <c r="R15">
        <f t="shared" si="2"/>
        <v>-3.9165715827193992</v>
      </c>
      <c r="T15" t="s">
        <v>23</v>
      </c>
      <c r="U15" s="13" t="s">
        <v>17</v>
      </c>
      <c r="V15">
        <f t="shared" ref="V15:V42" si="3">(H15-H$11)/H$11*100</f>
        <v>-6.202055153626179</v>
      </c>
      <c r="Y15" s="47"/>
      <c r="AA15" s="25"/>
      <c r="AB15" s="25"/>
      <c r="AC15" s="46"/>
      <c r="AD15" s="25"/>
      <c r="AE15" s="25"/>
    </row>
    <row r="16" spans="1:34" x14ac:dyDescent="0.25">
      <c r="A16" t="s">
        <v>23</v>
      </c>
      <c r="B16" s="13" t="s">
        <v>23</v>
      </c>
      <c r="D16">
        <v>13.699228</v>
      </c>
      <c r="E16">
        <v>13.54735</v>
      </c>
      <c r="F16">
        <v>14.632049</v>
      </c>
      <c r="G16">
        <v>16.051697000000001</v>
      </c>
      <c r="H16" s="2">
        <f t="shared" si="0"/>
        <v>13.54735</v>
      </c>
      <c r="I16" s="2">
        <v>0.64400000000000002</v>
      </c>
      <c r="J16" s="63">
        <f t="shared" si="1"/>
        <v>0</v>
      </c>
      <c r="K16" s="2">
        <f>2/I16*60</f>
        <v>186.33540372670808</v>
      </c>
      <c r="L16" t="s">
        <v>23</v>
      </c>
      <c r="M16" s="13" t="s">
        <v>23</v>
      </c>
      <c r="O16">
        <f t="shared" si="2"/>
        <v>-10.52259382838899</v>
      </c>
      <c r="P16">
        <f t="shared" si="2"/>
        <v>-9.9772194490963493</v>
      </c>
      <c r="Q16">
        <f t="shared" si="2"/>
        <v>-10.235284359704027</v>
      </c>
      <c r="R16">
        <f t="shared" si="2"/>
        <v>-2.4754817080357823</v>
      </c>
      <c r="T16" t="s">
        <v>23</v>
      </c>
      <c r="U16" s="13" t="s">
        <v>23</v>
      </c>
      <c r="V16">
        <f t="shared" si="3"/>
        <v>-9.9772194490963493</v>
      </c>
    </row>
    <row r="17" spans="1:34" x14ac:dyDescent="0.25">
      <c r="A17" t="s">
        <v>23</v>
      </c>
      <c r="B17" s="13" t="s">
        <v>18</v>
      </c>
      <c r="D17">
        <v>13.234811000000001</v>
      </c>
      <c r="E17">
        <v>13.419562000000001</v>
      </c>
      <c r="F17">
        <v>15.240169</v>
      </c>
      <c r="G17">
        <v>17.092821000000001</v>
      </c>
      <c r="H17" s="2">
        <f t="shared" si="0"/>
        <v>13.234811000000001</v>
      </c>
      <c r="I17" s="2">
        <v>0.60399999999999998</v>
      </c>
      <c r="J17" s="2">
        <f t="shared" si="1"/>
        <v>-6.211180124223608</v>
      </c>
      <c r="K17" s="2">
        <f>2/I17*60</f>
        <v>198.67549668874173</v>
      </c>
      <c r="L17" t="s">
        <v>23</v>
      </c>
      <c r="M17" s="13" t="s">
        <v>18</v>
      </c>
      <c r="O17">
        <f t="shared" si="2"/>
        <v>-13.555963923550628</v>
      </c>
      <c r="P17">
        <f t="shared" si="2"/>
        <v>-10.826376744142154</v>
      </c>
      <c r="Q17">
        <f t="shared" si="2"/>
        <v>-6.5045888928437963</v>
      </c>
      <c r="R17">
        <f t="shared" si="2"/>
        <v>3.8500249709280023</v>
      </c>
      <c r="T17" t="s">
        <v>23</v>
      </c>
      <c r="U17" s="13" t="s">
        <v>18</v>
      </c>
      <c r="V17">
        <f t="shared" si="3"/>
        <v>-12.054055864380432</v>
      </c>
    </row>
    <row r="18" spans="1:34" x14ac:dyDescent="0.25">
      <c r="A18" t="s">
        <v>23</v>
      </c>
      <c r="B18" s="13" t="s">
        <v>31</v>
      </c>
      <c r="D18">
        <v>13.294829</v>
      </c>
      <c r="E18">
        <v>14.355271</v>
      </c>
      <c r="F18">
        <v>16.375259</v>
      </c>
      <c r="G18">
        <v>18.238565000000001</v>
      </c>
      <c r="H18" s="2">
        <f t="shared" si="0"/>
        <v>13.294829</v>
      </c>
      <c r="I18" s="2">
        <v>0.60399999999999998</v>
      </c>
      <c r="J18" s="2">
        <f t="shared" si="1"/>
        <v>-6.211180124223608</v>
      </c>
      <c r="K18" s="2">
        <f>2/I18*60</f>
        <v>198.67549668874173</v>
      </c>
      <c r="L18" t="s">
        <v>23</v>
      </c>
      <c r="M18" s="13" t="s">
        <v>31</v>
      </c>
      <c r="O18">
        <f t="shared" si="2"/>
        <v>-13.163952420157321</v>
      </c>
      <c r="P18">
        <f t="shared" si="2"/>
        <v>-4.6085462483990423</v>
      </c>
      <c r="Q18">
        <f t="shared" si="2"/>
        <v>0.45896290199666262</v>
      </c>
      <c r="R18">
        <f t="shared" si="2"/>
        <v>10.811166318531829</v>
      </c>
      <c r="T18" t="s">
        <v>23</v>
      </c>
      <c r="U18" s="13" t="s">
        <v>31</v>
      </c>
      <c r="V18">
        <f t="shared" si="3"/>
        <v>-11.65523341990944</v>
      </c>
    </row>
    <row r="19" spans="1:34" s="2" customFormat="1" x14ac:dyDescent="0.25">
      <c r="A19"/>
      <c r="B19" s="13"/>
      <c r="C19"/>
      <c r="D19"/>
      <c r="E19"/>
      <c r="F19"/>
      <c r="G19"/>
      <c r="L19"/>
      <c r="M19" s="13"/>
      <c r="N19"/>
      <c r="O19"/>
      <c r="P19"/>
      <c r="Q19"/>
      <c r="R19"/>
      <c r="T19"/>
      <c r="U19" s="13"/>
      <c r="V19"/>
      <c r="X19"/>
      <c r="Y19" s="48" t="s">
        <v>34</v>
      </c>
      <c r="Z19" s="48"/>
      <c r="AA19" s="49" t="s">
        <v>11</v>
      </c>
      <c r="AB19" s="49"/>
      <c r="AC19" s="49"/>
      <c r="AD19" s="49"/>
      <c r="AE19"/>
      <c r="AF19"/>
      <c r="AG19"/>
      <c r="AH19"/>
    </row>
    <row r="20" spans="1:34" s="2" customFormat="1" x14ac:dyDescent="0.25">
      <c r="A20" t="s">
        <v>20</v>
      </c>
      <c r="B20" s="13" t="s">
        <v>30</v>
      </c>
      <c r="C20"/>
      <c r="D20">
        <v>14.711862999999999</v>
      </c>
      <c r="E20">
        <v>14.561116</v>
      </c>
      <c r="F20">
        <v>15.461321999999999</v>
      </c>
      <c r="G20">
        <v>15.872484</v>
      </c>
      <c r="H20" s="2">
        <f t="shared" si="0"/>
        <v>14.561116</v>
      </c>
      <c r="I20" s="2">
        <v>0.64400000000000002</v>
      </c>
      <c r="J20" s="2">
        <f t="shared" si="1"/>
        <v>0</v>
      </c>
      <c r="K20" s="2">
        <f>2/I20*60</f>
        <v>186.33540372670808</v>
      </c>
      <c r="L20" t="s">
        <v>20</v>
      </c>
      <c r="M20" s="13" t="s">
        <v>30</v>
      </c>
      <c r="N20"/>
      <c r="O20">
        <f t="shared" si="2"/>
        <v>-3.9085019103196457</v>
      </c>
      <c r="P20">
        <f t="shared" si="2"/>
        <v>-3.2406965019541092</v>
      </c>
      <c r="Q20">
        <f t="shared" si="2"/>
        <v>-5.1478591444675912</v>
      </c>
      <c r="R20">
        <f t="shared" si="2"/>
        <v>-3.5643174552254937</v>
      </c>
      <c r="T20" t="s">
        <v>20</v>
      </c>
      <c r="U20" s="13" t="s">
        <v>30</v>
      </c>
      <c r="V20">
        <f t="shared" si="3"/>
        <v>-3.2406965019541092</v>
      </c>
      <c r="X20"/>
      <c r="Y20" s="48"/>
      <c r="Z20" s="48"/>
      <c r="AA20" t="s">
        <v>27</v>
      </c>
      <c r="AB20" t="s">
        <v>12</v>
      </c>
      <c r="AC20" s="21" t="s">
        <v>13</v>
      </c>
      <c r="AD20" t="s">
        <v>14</v>
      </c>
      <c r="AE20" t="s">
        <v>28</v>
      </c>
      <c r="AF20"/>
      <c r="AG20"/>
      <c r="AH20"/>
    </row>
    <row r="21" spans="1:34" s="2" customFormat="1" x14ac:dyDescent="0.25">
      <c r="A21" t="s">
        <v>20</v>
      </c>
      <c r="B21" s="13" t="s">
        <v>17</v>
      </c>
      <c r="C21"/>
      <c r="D21">
        <v>14.186170000000001</v>
      </c>
      <c r="E21">
        <v>13.685762</v>
      </c>
      <c r="F21">
        <v>14.830164999999999</v>
      </c>
      <c r="G21">
        <v>15.592643000000001</v>
      </c>
      <c r="H21" s="2">
        <f t="shared" si="0"/>
        <v>13.685762</v>
      </c>
      <c r="I21" s="2">
        <v>0.64400000000000002</v>
      </c>
      <c r="J21" s="2">
        <f t="shared" si="1"/>
        <v>0</v>
      </c>
      <c r="K21" s="2">
        <f>2/I21*60</f>
        <v>186.33540372670808</v>
      </c>
      <c r="L21" t="s">
        <v>20</v>
      </c>
      <c r="M21" s="13" t="s">
        <v>17</v>
      </c>
      <c r="N21"/>
      <c r="O21">
        <f t="shared" si="2"/>
        <v>-7.3421002183828872</v>
      </c>
      <c r="P21">
        <f t="shared" si="2"/>
        <v>-9.0574651723107245</v>
      </c>
      <c r="Q21">
        <f t="shared" si="2"/>
        <v>-9.0198820326756799</v>
      </c>
      <c r="R21">
        <f t="shared" si="2"/>
        <v>-5.2645338699348851</v>
      </c>
      <c r="T21" t="s">
        <v>20</v>
      </c>
      <c r="U21" s="13" t="s">
        <v>17</v>
      </c>
      <c r="V21">
        <f t="shared" si="3"/>
        <v>-9.0574651723107245</v>
      </c>
      <c r="X21"/>
      <c r="Y21" s="47" t="s">
        <v>16</v>
      </c>
      <c r="Z21">
        <v>30</v>
      </c>
      <c r="AA21" s="25">
        <v>-3.9389779997105454</v>
      </c>
      <c r="AB21" s="25">
        <v>-3.2406965019541092</v>
      </c>
      <c r="AC21" s="42">
        <v>-2.404158151592406</v>
      </c>
      <c r="AD21" s="25">
        <v>-0.668338914951499</v>
      </c>
      <c r="AE21" s="25">
        <v>-5.7506238702588683E-2</v>
      </c>
      <c r="AF21"/>
      <c r="AG21"/>
      <c r="AH21"/>
    </row>
    <row r="22" spans="1:34" s="2" customFormat="1" x14ac:dyDescent="0.25">
      <c r="A22" t="s">
        <v>21</v>
      </c>
      <c r="B22" s="13" t="s">
        <v>23</v>
      </c>
      <c r="C22"/>
      <c r="D22">
        <v>13.370756</v>
      </c>
      <c r="E22">
        <v>13.285695</v>
      </c>
      <c r="F22">
        <v>14.831022000000001</v>
      </c>
      <c r="G22">
        <v>16.492588999999999</v>
      </c>
      <c r="H22" s="2">
        <f t="shared" si="0"/>
        <v>13.285695</v>
      </c>
      <c r="I22" s="2">
        <v>0.64400000000000002</v>
      </c>
      <c r="J22" s="2">
        <f t="shared" si="1"/>
        <v>0</v>
      </c>
      <c r="K22" s="2">
        <f>2/I22*60</f>
        <v>186.33540372670808</v>
      </c>
      <c r="L22" t="s">
        <v>21</v>
      </c>
      <c r="M22" s="13" t="s">
        <v>23</v>
      </c>
      <c r="N22"/>
      <c r="O22">
        <f t="shared" si="2"/>
        <v>-12.66803023984235</v>
      </c>
      <c r="P22">
        <f t="shared" si="2"/>
        <v>-11.715929281280992</v>
      </c>
      <c r="Q22">
        <f t="shared" si="2"/>
        <v>-9.0146245078202156</v>
      </c>
      <c r="R22">
        <f t="shared" si="2"/>
        <v>0.20322446980824876</v>
      </c>
      <c r="T22" t="s">
        <v>21</v>
      </c>
      <c r="U22" s="13" t="s">
        <v>23</v>
      </c>
      <c r="V22">
        <f t="shared" si="3"/>
        <v>-11.715929281280992</v>
      </c>
      <c r="X22"/>
      <c r="Y22" s="47"/>
      <c r="Z22">
        <v>60</v>
      </c>
      <c r="AA22" s="25">
        <v>-9.8793844187730038</v>
      </c>
      <c r="AB22" s="25">
        <v>-9.0574651723107245</v>
      </c>
      <c r="AC22" s="42">
        <v>-6.202055153626179</v>
      </c>
      <c r="AD22" s="25">
        <v>-3.9191358886906786</v>
      </c>
      <c r="AE22" s="25">
        <v>-1.898217545821925</v>
      </c>
      <c r="AF22"/>
      <c r="AG22"/>
      <c r="AH22"/>
    </row>
    <row r="23" spans="1:34" s="2" customFormat="1" x14ac:dyDescent="0.25">
      <c r="A23" t="s">
        <v>20</v>
      </c>
      <c r="B23" s="13" t="s">
        <v>18</v>
      </c>
      <c r="C23"/>
      <c r="D23">
        <v>13.430968</v>
      </c>
      <c r="E23">
        <v>14.365443000000001</v>
      </c>
      <c r="F23">
        <v>16.272478</v>
      </c>
      <c r="G23">
        <v>18.043804000000002</v>
      </c>
      <c r="H23" s="2">
        <f t="shared" si="0"/>
        <v>13.430968</v>
      </c>
      <c r="I23" s="2">
        <v>0.60399999999999998</v>
      </c>
      <c r="J23" s="2">
        <f t="shared" si="1"/>
        <v>-6.211180124223608</v>
      </c>
      <c r="K23" s="2">
        <f>2/I23*60</f>
        <v>198.67549668874173</v>
      </c>
      <c r="L23" t="s">
        <v>20</v>
      </c>
      <c r="M23" s="13" t="s">
        <v>18</v>
      </c>
      <c r="N23"/>
      <c r="O23">
        <f t="shared" si="2"/>
        <v>-12.274751612725183</v>
      </c>
      <c r="P23">
        <f t="shared" si="2"/>
        <v>-4.5409528280058398</v>
      </c>
      <c r="Q23">
        <f t="shared" si="2"/>
        <v>-0.17157812737149231</v>
      </c>
      <c r="R23">
        <f t="shared" si="2"/>
        <v>9.6278663405256903</v>
      </c>
      <c r="T23" t="s">
        <v>20</v>
      </c>
      <c r="U23" s="13" t="s">
        <v>18</v>
      </c>
      <c r="V23">
        <f t="shared" si="3"/>
        <v>-10.750583335470825</v>
      </c>
      <c r="X23"/>
      <c r="Y23" s="47"/>
      <c r="Z23" s="18">
        <v>120</v>
      </c>
      <c r="AA23" s="43">
        <v>-11.375284225282524</v>
      </c>
      <c r="AB23" s="43">
        <v>-11.715929281280992</v>
      </c>
      <c r="AC23" s="44">
        <v>-9.9772194490963493</v>
      </c>
      <c r="AD23" s="45">
        <v>-9.6073561204406897</v>
      </c>
      <c r="AE23" s="25">
        <v>-5.4263854358639323</v>
      </c>
      <c r="AF23"/>
      <c r="AG23"/>
      <c r="AH23"/>
    </row>
    <row r="24" spans="1:34" s="2" customFormat="1" x14ac:dyDescent="0.25">
      <c r="A24" t="s">
        <v>20</v>
      </c>
      <c r="B24" s="13" t="s">
        <v>31</v>
      </c>
      <c r="C24"/>
      <c r="D24">
        <v>14.327764999999999</v>
      </c>
      <c r="E24">
        <v>16.226382999999998</v>
      </c>
      <c r="F24">
        <v>18.204844999999999</v>
      </c>
      <c r="G24">
        <v>20.110809</v>
      </c>
      <c r="H24" s="2">
        <f t="shared" si="0"/>
        <v>14.327764999999999</v>
      </c>
      <c r="I24" s="2">
        <v>0.60399999999999998</v>
      </c>
      <c r="J24" s="63">
        <f t="shared" si="1"/>
        <v>-6.211180124223608</v>
      </c>
      <c r="K24" s="2">
        <f>2/I24*60</f>
        <v>198.67549668874173</v>
      </c>
      <c r="L24" t="s">
        <v>20</v>
      </c>
      <c r="M24" s="13" t="s">
        <v>31</v>
      </c>
      <c r="N24"/>
      <c r="O24">
        <f t="shared" si="2"/>
        <v>-6.4172631891087448</v>
      </c>
      <c r="P24">
        <f t="shared" si="2"/>
        <v>7.8250813586357122</v>
      </c>
      <c r="Q24">
        <f t="shared" si="2"/>
        <v>11.683109775033136</v>
      </c>
      <c r="R24">
        <f t="shared" si="2"/>
        <v>22.186268541369706</v>
      </c>
      <c r="T24" t="s">
        <v>20</v>
      </c>
      <c r="U24" s="13" t="s">
        <v>31</v>
      </c>
      <c r="V24">
        <f t="shared" si="3"/>
        <v>-4.7913249174253263</v>
      </c>
      <c r="X24"/>
      <c r="Y24" s="47"/>
      <c r="Z24">
        <v>180</v>
      </c>
      <c r="AA24" s="25">
        <v>-8.9959586151774804</v>
      </c>
      <c r="AB24" s="25">
        <v>-10.750583335470825</v>
      </c>
      <c r="AC24" s="42">
        <v>-12.054055864380432</v>
      </c>
      <c r="AD24" s="25">
        <v>-11.686332240931874</v>
      </c>
      <c r="AE24" s="25">
        <v>-8.7690967028471789</v>
      </c>
      <c r="AF24"/>
      <c r="AG24"/>
      <c r="AH24"/>
    </row>
    <row r="25" spans="1:34" x14ac:dyDescent="0.25">
      <c r="Y25" s="47"/>
      <c r="Z25">
        <v>240</v>
      </c>
      <c r="AA25" s="25">
        <v>1.3109282718983211</v>
      </c>
      <c r="AB25" s="25">
        <v>-4.7913249174253263</v>
      </c>
      <c r="AC25" s="46">
        <v>-11.65523341990944</v>
      </c>
      <c r="AD25" s="25">
        <v>-12.207071366876916</v>
      </c>
      <c r="AE25" s="25">
        <v>-11.12285217122267</v>
      </c>
    </row>
    <row r="26" spans="1:34" x14ac:dyDescent="0.25">
      <c r="A26" t="s">
        <v>22</v>
      </c>
      <c r="B26" s="13" t="s">
        <v>30</v>
      </c>
      <c r="D26">
        <v>14.983318000000001</v>
      </c>
      <c r="E26">
        <v>14.948225000000001</v>
      </c>
      <c r="F26">
        <v>15.784383999999999</v>
      </c>
      <c r="G26">
        <v>16.292808000000001</v>
      </c>
      <c r="H26" s="2">
        <f t="shared" si="0"/>
        <v>14.948225000000001</v>
      </c>
      <c r="I26" s="2">
        <v>0.64400000000000002</v>
      </c>
      <c r="J26" s="63">
        <f t="shared" si="1"/>
        <v>0</v>
      </c>
      <c r="K26" s="2">
        <f>2/I26*60</f>
        <v>186.33540372670808</v>
      </c>
      <c r="L26" t="s">
        <v>22</v>
      </c>
      <c r="M26" s="13" t="s">
        <v>30</v>
      </c>
      <c r="O26">
        <f t="shared" si="2"/>
        <v>-2.1354757739333627</v>
      </c>
      <c r="P26">
        <f t="shared" si="2"/>
        <v>-0.668338914951499</v>
      </c>
      <c r="Q26">
        <f t="shared" si="2"/>
        <v>-3.1659379136006556</v>
      </c>
      <c r="R26">
        <f t="shared" si="2"/>
        <v>-1.0105752791458156</v>
      </c>
      <c r="T26" t="s">
        <v>22</v>
      </c>
      <c r="U26" s="13" t="s">
        <v>30</v>
      </c>
      <c r="V26">
        <f t="shared" si="3"/>
        <v>-0.668338914951499</v>
      </c>
    </row>
    <row r="27" spans="1:34" s="2" customFormat="1" x14ac:dyDescent="0.25">
      <c r="A27" t="s">
        <v>22</v>
      </c>
      <c r="B27" s="13" t="s">
        <v>17</v>
      </c>
      <c r="C27"/>
      <c r="D27">
        <v>14.671505</v>
      </c>
      <c r="E27">
        <v>14.459019</v>
      </c>
      <c r="F27">
        <v>15.455527999999999</v>
      </c>
      <c r="G27">
        <v>15.803293</v>
      </c>
      <c r="H27" s="2">
        <f t="shared" si="0"/>
        <v>14.459019</v>
      </c>
      <c r="I27" s="2">
        <v>0.64400000000000002</v>
      </c>
      <c r="J27" s="2">
        <f t="shared" si="1"/>
        <v>0</v>
      </c>
      <c r="K27" s="2">
        <f>2/I27*60</f>
        <v>186.33540372670808</v>
      </c>
      <c r="L27" t="s">
        <v>22</v>
      </c>
      <c r="M27" s="13" t="s">
        <v>17</v>
      </c>
      <c r="N27"/>
      <c r="O27">
        <f t="shared" si="2"/>
        <v>-4.1721028342749102</v>
      </c>
      <c r="P27">
        <f t="shared" si="2"/>
        <v>-3.9191358886906786</v>
      </c>
      <c r="Q27">
        <f t="shared" si="2"/>
        <v>-5.1834041841554619</v>
      </c>
      <c r="R27">
        <f t="shared" si="2"/>
        <v>-3.9846978639224249</v>
      </c>
      <c r="T27" t="s">
        <v>22</v>
      </c>
      <c r="U27" s="13" t="s">
        <v>17</v>
      </c>
      <c r="V27">
        <f t="shared" si="3"/>
        <v>-3.9191358886906786</v>
      </c>
      <c r="X27"/>
      <c r="Y27"/>
      <c r="Z27"/>
      <c r="AA27"/>
      <c r="AB27"/>
      <c r="AC27"/>
      <c r="AD27"/>
      <c r="AE27"/>
      <c r="AF27"/>
      <c r="AG27"/>
      <c r="AH27"/>
    </row>
    <row r="28" spans="1:34" s="2" customFormat="1" x14ac:dyDescent="0.25">
      <c r="A28" t="s">
        <v>22</v>
      </c>
      <c r="B28" s="13" t="s">
        <v>23</v>
      </c>
      <c r="C28"/>
      <c r="D28">
        <v>14.044463</v>
      </c>
      <c r="E28">
        <v>13.603009999999999</v>
      </c>
      <c r="F28">
        <v>14.88682</v>
      </c>
      <c r="G28">
        <v>15.536303</v>
      </c>
      <c r="H28" s="2">
        <f t="shared" si="0"/>
        <v>13.603009999999999</v>
      </c>
      <c r="I28" s="2">
        <v>0.64400000000000002</v>
      </c>
      <c r="J28" s="2">
        <f t="shared" si="1"/>
        <v>0</v>
      </c>
      <c r="K28" s="2">
        <f>2/I28*60</f>
        <v>186.33540372670808</v>
      </c>
      <c r="L28" t="s">
        <v>22</v>
      </c>
      <c r="M28" s="13" t="s">
        <v>23</v>
      </c>
      <c r="N28"/>
      <c r="O28">
        <f t="shared" si="2"/>
        <v>-8.2676687830027706</v>
      </c>
      <c r="P28">
        <f t="shared" si="2"/>
        <v>-9.6073561204406897</v>
      </c>
      <c r="Q28">
        <f t="shared" si="2"/>
        <v>-8.6723148556794118</v>
      </c>
      <c r="R28">
        <f t="shared" si="2"/>
        <v>-5.6068360801354213</v>
      </c>
      <c r="T28" t="s">
        <v>22</v>
      </c>
      <c r="U28" s="13" t="s">
        <v>23</v>
      </c>
      <c r="V28">
        <f t="shared" si="3"/>
        <v>-9.6073561204406897</v>
      </c>
      <c r="X28"/>
      <c r="Y28"/>
      <c r="Z28"/>
      <c r="AA28"/>
      <c r="AB28"/>
      <c r="AC28"/>
      <c r="AD28"/>
      <c r="AE28"/>
      <c r="AF28"/>
      <c r="AG28"/>
      <c r="AH28"/>
    </row>
    <row r="29" spans="1:34" s="2" customFormat="1" x14ac:dyDescent="0.25">
      <c r="A29" t="s">
        <v>22</v>
      </c>
      <c r="B29" s="13" t="s">
        <v>18</v>
      </c>
      <c r="C29"/>
      <c r="D29">
        <v>13.641543</v>
      </c>
      <c r="E29">
        <v>13.290149</v>
      </c>
      <c r="F29">
        <v>14.68605</v>
      </c>
      <c r="G29">
        <v>15.951404999999999</v>
      </c>
      <c r="H29" s="2">
        <f t="shared" si="0"/>
        <v>13.290149</v>
      </c>
      <c r="I29" s="2">
        <v>0.64400000000000002</v>
      </c>
      <c r="J29" s="2">
        <f t="shared" si="1"/>
        <v>0</v>
      </c>
      <c r="K29" s="2">
        <f>2/I29*60</f>
        <v>186.33540372670808</v>
      </c>
      <c r="L29" t="s">
        <v>22</v>
      </c>
      <c r="M29" s="13" t="s">
        <v>18</v>
      </c>
      <c r="N29"/>
      <c r="O29">
        <f t="shared" si="2"/>
        <v>-10.899367189268109</v>
      </c>
      <c r="P29">
        <f t="shared" si="2"/>
        <v>-11.686332240931874</v>
      </c>
      <c r="Q29">
        <f t="shared" si="2"/>
        <v>-9.9039989457957223</v>
      </c>
      <c r="R29">
        <f t="shared" si="2"/>
        <v>-3.0848209566235054</v>
      </c>
      <c r="T29" t="s">
        <v>22</v>
      </c>
      <c r="U29" s="13" t="s">
        <v>18</v>
      </c>
      <c r="V29">
        <f t="shared" si="3"/>
        <v>-11.686332240931874</v>
      </c>
      <c r="X29"/>
      <c r="Y29"/>
      <c r="Z29"/>
      <c r="AA29"/>
      <c r="AB29"/>
      <c r="AC29"/>
      <c r="AD29"/>
      <c r="AE29"/>
      <c r="AF29"/>
      <c r="AG29"/>
      <c r="AH29"/>
    </row>
    <row r="30" spans="1:34" s="2" customFormat="1" x14ac:dyDescent="0.25">
      <c r="A30" t="s">
        <v>22</v>
      </c>
      <c r="B30" s="13" t="s">
        <v>31</v>
      </c>
      <c r="C30"/>
      <c r="D30">
        <v>13.211784</v>
      </c>
      <c r="E30">
        <v>13.324237</v>
      </c>
      <c r="F30">
        <v>15.195698</v>
      </c>
      <c r="G30">
        <v>16.803878999999998</v>
      </c>
      <c r="H30" s="2">
        <f t="shared" si="0"/>
        <v>13.211784</v>
      </c>
      <c r="I30" s="2">
        <v>0.60399999999999998</v>
      </c>
      <c r="J30" s="63">
        <f t="shared" si="1"/>
        <v>-6.211180124223608</v>
      </c>
      <c r="K30" s="2">
        <f>2/I30*60</f>
        <v>198.67549668874173</v>
      </c>
      <c r="L30" t="s">
        <v>22</v>
      </c>
      <c r="M30" s="13" t="s">
        <v>31</v>
      </c>
      <c r="N30"/>
      <c r="O30">
        <f t="shared" si="2"/>
        <v>-13.706366284319701</v>
      </c>
      <c r="P30">
        <f t="shared" si="2"/>
        <v>-11.459815871057376</v>
      </c>
      <c r="Q30">
        <f t="shared" si="2"/>
        <v>-6.7774096487912088</v>
      </c>
      <c r="R30">
        <f t="shared" si="2"/>
        <v>2.0945140511593983</v>
      </c>
      <c r="T30" t="s">
        <v>22</v>
      </c>
      <c r="U30" s="13" t="s">
        <v>31</v>
      </c>
      <c r="V30">
        <f t="shared" si="3"/>
        <v>-12.207071366876916</v>
      </c>
      <c r="X30"/>
      <c r="Y30"/>
      <c r="Z30"/>
      <c r="AA30"/>
      <c r="AB30"/>
      <c r="AC30"/>
      <c r="AD30"/>
      <c r="AE30"/>
      <c r="AF30"/>
      <c r="AG30"/>
      <c r="AH30"/>
    </row>
    <row r="31" spans="1:34" s="2" customFormat="1" x14ac:dyDescent="0.25">
      <c r="A31"/>
      <c r="B31"/>
      <c r="C31"/>
      <c r="D31"/>
      <c r="E31"/>
      <c r="F31"/>
      <c r="G31"/>
      <c r="L31"/>
      <c r="M31"/>
      <c r="N31"/>
      <c r="O31"/>
      <c r="P31"/>
      <c r="Q31"/>
      <c r="R31"/>
      <c r="T31"/>
      <c r="U31"/>
      <c r="V31"/>
      <c r="X31"/>
      <c r="Y31"/>
      <c r="Z31"/>
      <c r="AA31"/>
      <c r="AB31"/>
      <c r="AC31"/>
      <c r="AD31"/>
      <c r="AE31"/>
      <c r="AF31"/>
      <c r="AG31"/>
      <c r="AH31"/>
    </row>
    <row r="32" spans="1:34" s="2" customFormat="1" x14ac:dyDescent="0.25">
      <c r="A32" t="s">
        <v>29</v>
      </c>
      <c r="B32" s="13" t="s">
        <v>30</v>
      </c>
      <c r="C32"/>
      <c r="D32">
        <v>14.638135</v>
      </c>
      <c r="E32">
        <v>14.456033</v>
      </c>
      <c r="F32">
        <v>15.385187999999999</v>
      </c>
      <c r="G32">
        <v>15.478062</v>
      </c>
      <c r="H32" s="2">
        <f>MIN(D32:G32)</f>
        <v>14.456033</v>
      </c>
      <c r="I32" s="2">
        <v>0.64400000000000002</v>
      </c>
      <c r="J32" s="2">
        <f t="shared" si="1"/>
        <v>0</v>
      </c>
      <c r="K32" s="2">
        <f>2/I32*60</f>
        <v>186.33540372670808</v>
      </c>
      <c r="L32" t="s">
        <v>29</v>
      </c>
      <c r="M32" s="13" t="s">
        <v>30</v>
      </c>
      <c r="N32"/>
      <c r="O32">
        <f t="shared" si="2"/>
        <v>-4.3900611779090646</v>
      </c>
      <c r="P32">
        <f t="shared" si="2"/>
        <v>-3.9389779997105454</v>
      </c>
      <c r="Q32">
        <f t="shared" si="2"/>
        <v>-5.6149261191994464</v>
      </c>
      <c r="R32">
        <f t="shared" si="2"/>
        <v>-5.9606881039957242</v>
      </c>
      <c r="T32" t="s">
        <v>29</v>
      </c>
      <c r="U32" s="13" t="s">
        <v>30</v>
      </c>
      <c r="V32">
        <f t="shared" si="3"/>
        <v>-3.9389779997105454</v>
      </c>
      <c r="X32"/>
      <c r="Y32"/>
      <c r="Z32"/>
      <c r="AA32"/>
      <c r="AB32"/>
      <c r="AC32"/>
      <c r="AD32"/>
      <c r="AE32"/>
      <c r="AF32"/>
      <c r="AG32"/>
      <c r="AH32"/>
    </row>
    <row r="33" spans="1:34" s="2" customFormat="1" x14ac:dyDescent="0.25">
      <c r="A33" t="s">
        <v>29</v>
      </c>
      <c r="B33" s="13" t="s">
        <v>17</v>
      </c>
      <c r="C33"/>
      <c r="D33">
        <v>14.096348000000001</v>
      </c>
      <c r="E33">
        <v>13.562073</v>
      </c>
      <c r="F33">
        <v>14.686576000000001</v>
      </c>
      <c r="G33">
        <v>15.560356000000001</v>
      </c>
      <c r="H33" s="2">
        <f t="shared" si="0"/>
        <v>13.562073</v>
      </c>
      <c r="I33" s="2">
        <v>0.64400000000000002</v>
      </c>
      <c r="J33" s="2">
        <f t="shared" si="1"/>
        <v>0</v>
      </c>
      <c r="K33" s="2">
        <f>2/I33*60</f>
        <v>186.33540372670808</v>
      </c>
      <c r="L33" t="s">
        <v>29</v>
      </c>
      <c r="M33" s="13" t="s">
        <v>17</v>
      </c>
      <c r="N33"/>
      <c r="O33">
        <f t="shared" si="2"/>
        <v>-7.9287785025275435</v>
      </c>
      <c r="P33">
        <f t="shared" si="2"/>
        <v>-9.8793844187730038</v>
      </c>
      <c r="Q33">
        <f t="shared" si="2"/>
        <v>-9.9007720402251582</v>
      </c>
      <c r="R33">
        <f t="shared" si="2"/>
        <v>-5.4606984326034098</v>
      </c>
      <c r="T33" t="s">
        <v>29</v>
      </c>
      <c r="U33" s="13" t="s">
        <v>17</v>
      </c>
      <c r="V33">
        <f t="shared" si="3"/>
        <v>-9.8793844187730038</v>
      </c>
      <c r="X33"/>
      <c r="Y33"/>
      <c r="Z33"/>
      <c r="AA33"/>
      <c r="AB33"/>
      <c r="AC33"/>
      <c r="AD33"/>
      <c r="AE33"/>
      <c r="AF33"/>
      <c r="AG33"/>
      <c r="AH33"/>
    </row>
    <row r="34" spans="1:34" s="2" customFormat="1" x14ac:dyDescent="0.25">
      <c r="A34" t="s">
        <v>29</v>
      </c>
      <c r="B34" s="13" t="s">
        <v>23</v>
      </c>
      <c r="C34"/>
      <c r="D34">
        <v>13.336957999999999</v>
      </c>
      <c r="E34">
        <v>13.397798999999999</v>
      </c>
      <c r="F34">
        <v>15.050153999999999</v>
      </c>
      <c r="G34">
        <v>16.495013</v>
      </c>
      <c r="H34" s="2">
        <f t="shared" si="0"/>
        <v>13.336957999999999</v>
      </c>
      <c r="I34" s="2">
        <v>0.60399999999999998</v>
      </c>
      <c r="J34" s="2">
        <f t="shared" si="1"/>
        <v>-6.211180124223608</v>
      </c>
      <c r="K34" s="2">
        <f>2/I34*60</f>
        <v>198.67549668874173</v>
      </c>
      <c r="L34" t="s">
        <v>29</v>
      </c>
      <c r="M34" s="13" t="s">
        <v>23</v>
      </c>
      <c r="N34"/>
      <c r="O34">
        <f t="shared" si="2"/>
        <v>-12.888784093547697</v>
      </c>
      <c r="P34">
        <f t="shared" si="2"/>
        <v>-10.970992906943696</v>
      </c>
      <c r="Q34">
        <f t="shared" si="2"/>
        <v>-7.6702931932046621</v>
      </c>
      <c r="R34">
        <f t="shared" si="2"/>
        <v>0.21795184924606453</v>
      </c>
      <c r="T34" t="s">
        <v>29</v>
      </c>
      <c r="U34" s="13" t="s">
        <v>23</v>
      </c>
      <c r="V34">
        <f t="shared" si="3"/>
        <v>-11.375284225282524</v>
      </c>
      <c r="X34"/>
      <c r="Y34"/>
      <c r="Z34"/>
      <c r="AA34"/>
      <c r="AB34"/>
      <c r="AC34"/>
      <c r="AD34"/>
      <c r="AE34"/>
      <c r="AF34"/>
      <c r="AG34"/>
      <c r="AH34"/>
    </row>
    <row r="35" spans="1:34" s="2" customFormat="1" x14ac:dyDescent="0.25">
      <c r="A35" t="s">
        <v>29</v>
      </c>
      <c r="B35" s="13" t="s">
        <v>18</v>
      </c>
      <c r="C35"/>
      <c r="D35">
        <v>13.695017999999999</v>
      </c>
      <c r="E35">
        <v>15.239178000000001</v>
      </c>
      <c r="F35">
        <v>16.918028</v>
      </c>
      <c r="G35">
        <v>18.716106</v>
      </c>
      <c r="H35" s="2">
        <f t="shared" si="0"/>
        <v>13.695017999999999</v>
      </c>
      <c r="I35" s="2">
        <v>0.60399999999999998</v>
      </c>
      <c r="J35" s="2">
        <f t="shared" si="1"/>
        <v>-6.211180124223608</v>
      </c>
      <c r="K35" s="2">
        <f>2/I35*60</f>
        <v>198.67549668874173</v>
      </c>
      <c r="L35" t="s">
        <v>29</v>
      </c>
      <c r="M35" s="13" t="s">
        <v>18</v>
      </c>
      <c r="N35"/>
      <c r="O35">
        <f t="shared" si="2"/>
        <v>-10.550091719509755</v>
      </c>
      <c r="P35">
        <f t="shared" si="2"/>
        <v>1.2650575108902393</v>
      </c>
      <c r="Q35">
        <f t="shared" si="2"/>
        <v>3.7887429583215004</v>
      </c>
      <c r="R35">
        <f t="shared" si="2"/>
        <v>13.712539051250541</v>
      </c>
      <c r="T35" t="s">
        <v>29</v>
      </c>
      <c r="U35" s="13" t="s">
        <v>18</v>
      </c>
      <c r="V35">
        <f t="shared" si="3"/>
        <v>-8.9959586151774804</v>
      </c>
      <c r="X35"/>
      <c r="Y35"/>
      <c r="Z35"/>
      <c r="AA35"/>
      <c r="AB35"/>
      <c r="AC35"/>
      <c r="AD35"/>
      <c r="AE35"/>
      <c r="AF35"/>
      <c r="AG35"/>
      <c r="AH35"/>
    </row>
    <row r="36" spans="1:34" x14ac:dyDescent="0.25">
      <c r="A36" t="s">
        <v>29</v>
      </c>
      <c r="B36" s="13" t="s">
        <v>31</v>
      </c>
      <c r="D36">
        <v>15.246081</v>
      </c>
      <c r="E36">
        <v>17.483494</v>
      </c>
      <c r="F36">
        <v>19.478632000000001</v>
      </c>
      <c r="G36">
        <v>21.413086</v>
      </c>
      <c r="H36" s="2">
        <f t="shared" si="0"/>
        <v>15.246081</v>
      </c>
      <c r="I36" s="2">
        <v>0.60399999999999998</v>
      </c>
      <c r="J36" s="2">
        <f t="shared" si="1"/>
        <v>-6.211180124223608</v>
      </c>
      <c r="K36" s="2">
        <f>2/I36*60</f>
        <v>198.67549668874173</v>
      </c>
      <c r="L36" t="s">
        <v>29</v>
      </c>
      <c r="M36" s="13" t="s">
        <v>31</v>
      </c>
      <c r="O36">
        <f t="shared" si="2"/>
        <v>-0.41922200562824441</v>
      </c>
      <c r="P36">
        <f t="shared" si="2"/>
        <v>16.178643323235963</v>
      </c>
      <c r="Q36">
        <f t="shared" si="2"/>
        <v>19.497540128656603</v>
      </c>
      <c r="R36">
        <f t="shared" si="2"/>
        <v>30.098449858255037</v>
      </c>
      <c r="T36" t="s">
        <v>29</v>
      </c>
      <c r="U36" s="13" t="s">
        <v>31</v>
      </c>
      <c r="V36">
        <f t="shared" si="3"/>
        <v>1.3109282718983211</v>
      </c>
    </row>
    <row r="38" spans="1:34" x14ac:dyDescent="0.25">
      <c r="A38" t="s">
        <v>32</v>
      </c>
      <c r="B38" s="13" t="s">
        <v>30</v>
      </c>
      <c r="D38">
        <v>15.137713</v>
      </c>
      <c r="E38">
        <v>15.040148</v>
      </c>
      <c r="F38">
        <v>15.949451</v>
      </c>
      <c r="G38">
        <v>16.208399</v>
      </c>
      <c r="H38" s="2">
        <f t="shared" si="0"/>
        <v>15.040148</v>
      </c>
      <c r="I38" s="2">
        <v>0.64400000000000002</v>
      </c>
      <c r="J38" s="2">
        <f t="shared" si="1"/>
        <v>0</v>
      </c>
      <c r="K38" s="2">
        <f>2/I38*60</f>
        <v>186.33540372670808</v>
      </c>
      <c r="L38" t="s">
        <v>32</v>
      </c>
      <c r="M38" s="13" t="s">
        <v>30</v>
      </c>
      <c r="O38">
        <f t="shared" si="2"/>
        <v>-1.127034705147165</v>
      </c>
      <c r="P38">
        <f t="shared" si="2"/>
        <v>-5.7506238702588683E-2</v>
      </c>
      <c r="Q38">
        <f t="shared" si="2"/>
        <v>-2.1532846401871519</v>
      </c>
      <c r="R38">
        <f t="shared" si="2"/>
        <v>-1.5234149536367112</v>
      </c>
      <c r="T38" t="s">
        <v>32</v>
      </c>
      <c r="U38" s="13" t="s">
        <v>30</v>
      </c>
      <c r="V38">
        <f>(H38-H$11)/H$11*100</f>
        <v>-5.7506238702588683E-2</v>
      </c>
    </row>
    <row r="39" spans="1:34" x14ac:dyDescent="0.25">
      <c r="A39" t="s">
        <v>32</v>
      </c>
      <c r="B39" s="13" t="s">
        <v>17</v>
      </c>
      <c r="D39">
        <v>14.960974</v>
      </c>
      <c r="E39">
        <v>14.763142999999999</v>
      </c>
      <c r="F39">
        <v>15.703794</v>
      </c>
      <c r="G39">
        <v>16.029585999999998</v>
      </c>
      <c r="H39" s="2">
        <f t="shared" si="0"/>
        <v>14.763142999999999</v>
      </c>
      <c r="I39" s="2">
        <v>0.64400000000000002</v>
      </c>
      <c r="J39" s="2">
        <f t="shared" si="1"/>
        <v>0</v>
      </c>
      <c r="K39" s="2">
        <f>2/I39*60</f>
        <v>186.33540372670808</v>
      </c>
      <c r="L39" t="s">
        <v>32</v>
      </c>
      <c r="M39" s="13" t="s">
        <v>17</v>
      </c>
      <c r="O39">
        <f t="shared" si="2"/>
        <v>-2.2814170754065928</v>
      </c>
      <c r="P39">
        <f t="shared" si="2"/>
        <v>-1.898217545821925</v>
      </c>
      <c r="Q39">
        <f t="shared" si="2"/>
        <v>-3.6603415636602863</v>
      </c>
      <c r="R39">
        <f t="shared" si="2"/>
        <v>-2.6098204401931273</v>
      </c>
      <c r="T39" t="s">
        <v>32</v>
      </c>
      <c r="U39" s="13" t="s">
        <v>17</v>
      </c>
      <c r="V39">
        <f t="shared" si="3"/>
        <v>-1.898217545821925</v>
      </c>
    </row>
    <row r="40" spans="1:34" x14ac:dyDescent="0.25">
      <c r="A40" t="s">
        <v>32</v>
      </c>
      <c r="B40" s="13" t="s">
        <v>23</v>
      </c>
      <c r="D40">
        <v>14.552343</v>
      </c>
      <c r="E40">
        <v>14.232196</v>
      </c>
      <c r="F40">
        <v>15.013090999999999</v>
      </c>
      <c r="G40">
        <v>15.841464999999999</v>
      </c>
      <c r="H40" s="2">
        <f t="shared" si="0"/>
        <v>14.232196</v>
      </c>
      <c r="I40" s="2">
        <v>0.64400000000000002</v>
      </c>
      <c r="J40" s="2">
        <f t="shared" si="1"/>
        <v>0</v>
      </c>
      <c r="K40" s="2">
        <f>2/I40*60</f>
        <v>186.33540372670808</v>
      </c>
      <c r="L40" t="s">
        <v>32</v>
      </c>
      <c r="M40" s="13" t="s">
        <v>23</v>
      </c>
      <c r="O40">
        <f t="shared" si="2"/>
        <v>-4.950417252738597</v>
      </c>
      <c r="P40">
        <f t="shared" si="2"/>
        <v>-5.4263854358639323</v>
      </c>
      <c r="Q40">
        <f t="shared" si="2"/>
        <v>-7.8976673398997885</v>
      </c>
      <c r="R40">
        <f t="shared" si="2"/>
        <v>-3.7527780916864546</v>
      </c>
      <c r="T40" t="s">
        <v>32</v>
      </c>
      <c r="U40" s="13" t="s">
        <v>23</v>
      </c>
      <c r="V40">
        <f t="shared" si="3"/>
        <v>-5.4263854358639323</v>
      </c>
    </row>
    <row r="41" spans="1:34" x14ac:dyDescent="0.25">
      <c r="A41" t="s">
        <v>32</v>
      </c>
      <c r="B41" s="13" t="s">
        <v>18</v>
      </c>
      <c r="D41">
        <v>14.199351999999999</v>
      </c>
      <c r="E41">
        <v>13.729158</v>
      </c>
      <c r="F41">
        <v>15.021091</v>
      </c>
      <c r="G41">
        <v>15.805944999999999</v>
      </c>
      <c r="H41" s="2">
        <f t="shared" si="0"/>
        <v>13.729158</v>
      </c>
      <c r="I41" s="2">
        <v>0.64400000000000002</v>
      </c>
      <c r="J41" s="2">
        <f t="shared" si="1"/>
        <v>0</v>
      </c>
      <c r="K41" s="2">
        <f>2/I41*60</f>
        <v>186.33540372670808</v>
      </c>
      <c r="L41" t="s">
        <v>32</v>
      </c>
      <c r="M41" s="13" t="s">
        <v>18</v>
      </c>
      <c r="O41">
        <f t="shared" si="2"/>
        <v>-7.2560011208166548</v>
      </c>
      <c r="P41">
        <f t="shared" si="2"/>
        <v>-8.7690967028471789</v>
      </c>
      <c r="Q41">
        <f t="shared" si="2"/>
        <v>-7.8485889281802512</v>
      </c>
      <c r="R41">
        <f t="shared" si="2"/>
        <v>-3.9685852359236384</v>
      </c>
      <c r="T41" t="s">
        <v>32</v>
      </c>
      <c r="U41" s="13" t="s">
        <v>18</v>
      </c>
      <c r="V41">
        <f t="shared" si="3"/>
        <v>-8.7690967028471789</v>
      </c>
    </row>
    <row r="42" spans="1:34" x14ac:dyDescent="0.25">
      <c r="A42" t="s">
        <v>32</v>
      </c>
      <c r="B42" s="13" t="s">
        <v>31</v>
      </c>
      <c r="D42">
        <v>13.883046</v>
      </c>
      <c r="E42">
        <v>13.374946</v>
      </c>
      <c r="F42">
        <v>14.838291</v>
      </c>
      <c r="G42">
        <v>15.779356</v>
      </c>
      <c r="H42" s="2">
        <f t="shared" si="0"/>
        <v>13.374946</v>
      </c>
      <c r="I42" s="2">
        <v>0.64400000000000002</v>
      </c>
      <c r="J42" s="2">
        <f t="shared" si="1"/>
        <v>0</v>
      </c>
      <c r="K42" s="2">
        <f>2/I42*60</f>
        <v>186.33540372670808</v>
      </c>
      <c r="L42" t="s">
        <v>32</v>
      </c>
      <c r="M42" s="13" t="s">
        <v>31</v>
      </c>
      <c r="O42">
        <f t="shared" si="2"/>
        <v>-9.3219745053400391</v>
      </c>
      <c r="P42">
        <f t="shared" si="2"/>
        <v>-11.12285217122267</v>
      </c>
      <c r="Q42">
        <f t="shared" si="2"/>
        <v>-8.9700306359715611</v>
      </c>
      <c r="R42">
        <f t="shared" si="2"/>
        <v>-4.1301307358707771</v>
      </c>
      <c r="T42" t="s">
        <v>32</v>
      </c>
      <c r="U42" s="13" t="s">
        <v>31</v>
      </c>
      <c r="V42">
        <f t="shared" si="3"/>
        <v>-11.12285217122267</v>
      </c>
    </row>
    <row r="45" spans="1:34" x14ac:dyDescent="0.25">
      <c r="H45" s="2">
        <f t="shared" ref="H45:H51" si="4">E45</f>
        <v>0</v>
      </c>
    </row>
    <row r="46" spans="1:34" x14ac:dyDescent="0.25">
      <c r="H46" s="2">
        <f t="shared" si="4"/>
        <v>0</v>
      </c>
    </row>
    <row r="47" spans="1:34" x14ac:dyDescent="0.25">
      <c r="H47" s="2">
        <f t="shared" si="4"/>
        <v>0</v>
      </c>
      <c r="L47" t="s">
        <v>40</v>
      </c>
      <c r="M47">
        <f>K24-K11</f>
        <v>12.340092962033651</v>
      </c>
    </row>
    <row r="48" spans="1:34" x14ac:dyDescent="0.25">
      <c r="H48" s="2">
        <f t="shared" si="4"/>
        <v>0</v>
      </c>
      <c r="L48" t="s">
        <v>41</v>
      </c>
      <c r="M48">
        <f>K38-K11</f>
        <v>0</v>
      </c>
    </row>
    <row r="49" spans="8:13" x14ac:dyDescent="0.25">
      <c r="H49" s="2">
        <f t="shared" si="4"/>
        <v>0</v>
      </c>
      <c r="L49" t="s">
        <v>42</v>
      </c>
      <c r="M49">
        <f>K16-K11</f>
        <v>0</v>
      </c>
    </row>
    <row r="50" spans="8:13" x14ac:dyDescent="0.25">
      <c r="H50" s="2">
        <f t="shared" si="4"/>
        <v>0</v>
      </c>
      <c r="L50" t="s">
        <v>43</v>
      </c>
      <c r="M50">
        <f>K42-K11</f>
        <v>0</v>
      </c>
    </row>
    <row r="51" spans="8:13" x14ac:dyDescent="0.25">
      <c r="H51" s="2">
        <f t="shared" si="4"/>
        <v>0</v>
      </c>
    </row>
  </sheetData>
  <mergeCells count="6">
    <mergeCell ref="Y21:Y25"/>
    <mergeCell ref="Y9:Z10"/>
    <mergeCell ref="AA9:AD9"/>
    <mergeCell ref="Y11:Y15"/>
    <mergeCell ref="Y19:Z20"/>
    <mergeCell ref="AA19:AD19"/>
  </mergeCells>
  <conditionalFormatting sqref="AA11:AE15">
    <cfRule type="colorScale" priority="2">
      <colorScale>
        <cfvo type="min"/>
        <cfvo type="num" val="0"/>
        <cfvo type="max"/>
        <color rgb="FF63BE7B"/>
        <color rgb="FFFCFCFF"/>
        <color rgb="FFF8696B"/>
      </colorScale>
    </cfRule>
  </conditionalFormatting>
  <conditionalFormatting sqref="AA21:AE25">
    <cfRule type="colorScale" priority="1">
      <colorScale>
        <cfvo type="min"/>
        <cfvo type="num" val="0"/>
        <cfvo type="max"/>
        <color rgb="FF63BE7B"/>
        <color rgb="FFFCFCFF"/>
        <color rgb="FFF8696B"/>
      </colorScale>
    </cfRule>
  </conditionalFormatting>
  <pageMargins left="0.7" right="0.7" top="0.75" bottom="0.75" header="0.511811023622047" footer="0.511811023622047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2.7 exo moco optimization</vt:lpstr>
      <vt:lpstr>2.7 exo sweep</vt:lpstr>
      <vt:lpstr>4 exo sweep</vt:lpstr>
      <vt:lpstr>2.7 grid</vt:lpstr>
      <vt:lpstr>4 grid</vt:lpstr>
      <vt:lpstr>2.7 grid_figure</vt:lpstr>
      <vt:lpstr>2.7 grid_figure (2)</vt:lpstr>
      <vt:lpstr>4 grid_figure</vt:lpstr>
      <vt:lpstr>4 grid_figure (2)</vt:lpstr>
      <vt:lpstr>4 grid 12.24</vt:lpstr>
      <vt:lpstr>2.7 grid 12.24</vt:lpstr>
      <vt:lpstr>4 grid 12.24 (2)</vt:lpstr>
      <vt:lpstr>2.7 grid 12.24_actualmin</vt:lpstr>
      <vt:lpstr>4 grid 12.24_actualmin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 Stingel</dc:creator>
  <dc:description/>
  <cp:lastModifiedBy>Jon Stingel</cp:lastModifiedBy>
  <cp:revision>1</cp:revision>
  <cp:lastPrinted>2024-11-10T19:32:16Z</cp:lastPrinted>
  <dcterms:created xsi:type="dcterms:W3CDTF">2024-07-09T20:56:23Z</dcterms:created>
  <dcterms:modified xsi:type="dcterms:W3CDTF">2026-03-31T00:28:30Z</dcterms:modified>
  <dc:language>en-US</dc:language>
</cp:coreProperties>
</file>